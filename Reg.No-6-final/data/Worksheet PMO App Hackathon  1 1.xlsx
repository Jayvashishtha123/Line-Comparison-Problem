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3371482\Downloads\ppm-6\data\"/>
    </mc:Choice>
  </mc:AlternateContent>
  <xr:revisionPtr revIDLastSave="0" documentId="13_ncr:1_{00FEE109-32B7-4A3A-A24B-9755D04B5154}" xr6:coauthVersionLast="47" xr6:coauthVersionMax="47" xr10:uidLastSave="{00000000-0000-0000-0000-000000000000}"/>
  <bookViews>
    <workbookView xWindow="-108" yWindow="-108" windowWidth="23256" windowHeight="12456" xr2:uid="{B8C208A3-D795-4F43-A22B-4A2A52C6A72F}"/>
  </bookViews>
  <sheets>
    <sheet name="Program 2026 " sheetId="3" r:id="rId1"/>
    <sheet name="Sheet1" sheetId="2" r:id="rId2"/>
  </sheets>
  <definedNames>
    <definedName name="_xlnm._FilterDatabase" localSheetId="0" hidden="1">'Program 2026 '!$A$1:$Z$104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04" i="3" l="1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4" i="3"/>
  <c r="U63" i="3"/>
  <c r="U62" i="3"/>
  <c r="U61" i="3"/>
  <c r="U60" i="3"/>
  <c r="U59" i="3"/>
  <c r="U55" i="3"/>
  <c r="U39" i="3"/>
  <c r="U38" i="3"/>
  <c r="U36" i="3"/>
  <c r="U35" i="3"/>
  <c r="U34" i="3"/>
  <c r="U31" i="3"/>
  <c r="U30" i="3"/>
  <c r="U29" i="3"/>
  <c r="U28" i="3"/>
  <c r="U25" i="3"/>
  <c r="U24" i="3"/>
  <c r="U23" i="3"/>
  <c r="U21" i="3"/>
  <c r="U20" i="3"/>
  <c r="U19" i="3"/>
  <c r="U13" i="3"/>
  <c r="U12" i="3"/>
  <c r="U11" i="3"/>
  <c r="U10" i="3"/>
  <c r="U9" i="3"/>
  <c r="U8" i="3"/>
  <c r="U7" i="3"/>
  <c r="U6" i="3"/>
  <c r="U5" i="3"/>
  <c r="U4" i="3"/>
  <c r="U3" i="3"/>
  <c r="U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Schreiner, Emily (GE Vernova)</author>
    <author>tc={EB94B3BB-90D6-4617-8E86-F6684DEB9CAD}</author>
    <author>tc={B5058077-5502-4F8F-BE0B-A6746C83BE10}</author>
    <author>tc={6D5E2650-D5C0-46CA-A39A-299840C1F646}</author>
    <author>tc={E2821A2A-F5A4-48BF-9546-B1A360BEC9BE}</author>
    <author>tc={9B0C13AD-907E-4C37-9B10-89BD09CD5733}</author>
    <author>tc={CD546144-CA14-43E8-8BCD-FE33585E93CE}</author>
    <author>tc={95C08536-9504-4C87-A1C9-AC58CBE395A4}</author>
    <author>tc={82F6B5B1-B277-4B0B-B33C-3EE8546137EC}</author>
    <author>tc={46A10BC2-E037-4D47-AE25-35C117D819D7}</author>
    <author>tc={C5BD1C98-D25E-42AE-974E-80341A00B4F7}</author>
    <author>tc={F505DD94-BB4D-4A18-86B4-A4BD0492A94F}</author>
  </authors>
  <commentList>
    <comment ref="A1" authorId="0" shapeId="0" xr:uid="{C80A214E-147A-459E-AFA9-136DA4AA9AA7}">
      <text>
        <r>
          <rPr>
            <sz val="11"/>
            <color theme="1"/>
            <rFont val="Aptos Narrow"/>
            <family val="2"/>
            <scheme val="minor"/>
          </rPr>
          <t>Definition: To show the current status of the project based on current plan
Expected Values: G, Y, R</t>
        </r>
      </text>
    </comment>
    <comment ref="B1" authorId="0" shapeId="0" xr:uid="{8CF3994C-C25A-4513-A68A-15CBD680EDCE}">
      <text>
        <r>
          <rPr>
            <sz val="11"/>
            <color rgb="FF000000"/>
            <rFont val="Aptos Narrow"/>
            <family val="2"/>
          </rPr>
          <t>Definition: High level project name to allow for grouping and ease of reporting</t>
        </r>
      </text>
    </comment>
    <comment ref="C1" authorId="0" shapeId="0" xr:uid="{37888EC9-3DD9-45A8-8C94-5CE03B9E4EA2}">
      <text>
        <r>
          <rPr>
            <sz val="11"/>
            <color theme="1"/>
            <rFont val="Aptos Narrow"/>
            <family val="2"/>
            <scheme val="minor"/>
          </rPr>
          <t>Definition: Name recognized by the teams performing the work</t>
        </r>
      </text>
    </comment>
    <comment ref="D1" authorId="0" shapeId="0" xr:uid="{F22806BD-D041-4EF4-B68D-38CBA1A3C39C}">
      <text>
        <r>
          <rPr>
            <sz val="11"/>
            <color rgb="FF000000"/>
            <rFont val="Aptos Narrow"/>
            <family val="2"/>
          </rPr>
          <t>Definition: Short summary of the project to explain the purpose and/or deliverables</t>
        </r>
      </text>
    </comment>
    <comment ref="E1" authorId="0" shapeId="0" xr:uid="{2744ED00-14C0-45A7-B825-2D1D2BF8E69B}">
      <text>
        <r>
          <rPr>
            <sz val="11"/>
            <color theme="1"/>
            <rFont val="Aptos Narrow"/>
            <family val="2"/>
            <scheme val="minor"/>
          </rPr>
          <t>Defintion: The team of the leader responsible for delivery of the project 
Expected Values: Data &amp; Analytics; Digitization Programs; Enterprise Applications; Technology Enablement &amp; Transformation</t>
        </r>
      </text>
    </comment>
    <comment ref="F1" authorId="0" shapeId="0" xr:uid="{AA060BCD-DC92-4FDC-9B37-62D40B4B6A2E}">
      <text>
        <r>
          <rPr>
            <sz val="11"/>
            <color theme="1"/>
            <rFont val="Aptos Narrow"/>
            <family val="2"/>
            <scheme val="minor"/>
          </rPr>
          <t>Definition: To reflect where the project is according to the initial plan that was established
Expected Values: On Track; Slip; Adjusted plan</t>
        </r>
      </text>
    </comment>
    <comment ref="G1" authorId="0" shapeId="0" xr:uid="{9541D9AD-25EB-4828-B2C6-3622BD59FE5A}">
      <text>
        <r>
          <rPr>
            <sz val="11"/>
            <color theme="1"/>
            <rFont val="Aptos Narrow"/>
            <family val="2"/>
            <scheme val="minor"/>
          </rPr>
          <t>Definition: To indicate the current level of activity being executed on the project
Expected Values: Active; Hold; Evaluation; Funnel; Closure</t>
        </r>
      </text>
    </comment>
    <comment ref="J1" authorId="0" shapeId="0" xr:uid="{E2BC3A87-7024-4E88-8CD8-D073C47D5864}">
      <text>
        <r>
          <rPr>
            <sz val="11"/>
            <color theme="1"/>
            <rFont val="Aptos Narrow"/>
            <family val="2"/>
            <scheme val="minor"/>
          </rPr>
          <t>Definition: End date based on the initial plan</t>
        </r>
      </text>
    </comment>
    <comment ref="K1" authorId="0" shapeId="0" xr:uid="{02D57922-3A0E-48C8-B951-E8B7FCC7B1FE}">
      <text>
        <r>
          <rPr>
            <sz val="11"/>
            <color theme="1"/>
            <rFont val="Aptos Narrow"/>
            <family val="2"/>
            <scheme val="minor"/>
          </rPr>
          <t>Definition: End date based on agreed upon adjustments.  
Expected Values: Expected to be completed for any project with OTD Status = Adjusted Plan</t>
        </r>
      </text>
    </comment>
    <comment ref="L1" authorId="0" shapeId="0" xr:uid="{F96B032C-6359-43A2-B5F8-EDE520652019}">
      <text>
        <r>
          <rPr>
            <sz val="11"/>
            <color theme="1"/>
            <rFont val="Aptos Narrow"/>
            <family val="2"/>
            <scheme val="minor"/>
          </rPr>
          <t>Definition: Value to indicate the type of project being executed
Expected Values: MustDo; Strategic/LTGrowth; Productivity</t>
        </r>
      </text>
    </comment>
    <comment ref="M1" authorId="0" shapeId="0" xr:uid="{128CA49F-1216-42FB-B5B9-0A7E8B5787D0}">
      <text>
        <r>
          <rPr>
            <sz val="11"/>
            <color theme="1"/>
            <rFont val="Aptos Narrow"/>
            <family val="2"/>
            <scheme val="minor"/>
          </rPr>
          <t>Definition: Used to indicate the business(es) that are benefiting from the project
Expected Values: Grid; MFG; PERS; All</t>
        </r>
      </text>
    </comment>
    <comment ref="N1" authorId="0" shapeId="0" xr:uid="{3BB695C5-E8BD-45F7-81AD-8684467A9A52}">
      <text>
        <r>
          <rPr>
            <sz val="11"/>
            <color theme="1"/>
            <rFont val="Aptos Narrow"/>
            <family val="2"/>
            <scheme val="minor"/>
          </rPr>
          <t>Definition: Used to indicate the primary function of the business obtaining value from the project
Expected Values: Commercial; Marketing; Customer Success; Finance; Legal; HR; Strategy; Engineering; All</t>
        </r>
      </text>
    </comment>
    <comment ref="O1" authorId="0" shapeId="0" xr:uid="{9217CDE9-B672-46AE-83F0-685638EA4B26}">
      <text>
        <r>
          <rPr>
            <sz val="11"/>
            <color theme="1"/>
            <rFont val="Aptos Narrow"/>
            <family val="2"/>
            <scheme val="minor"/>
          </rPr>
          <t>Definition: used to indicate if there is a specific region obtaining value from the project
Expected Values: Global; Namerica; EMEA; APAC</t>
        </r>
      </text>
    </comment>
    <comment ref="P1" authorId="0" shapeId="0" xr:uid="{85A587AD-4D31-4A99-9B59-34DF7AC89E4C}">
      <text>
        <r>
          <rPr>
            <sz val="11"/>
            <color theme="1"/>
            <rFont val="Aptos Narrow"/>
            <family val="2"/>
            <scheme val="minor"/>
          </rPr>
          <t>Definition: Indicates the Executive sponsor of the project</t>
        </r>
      </text>
    </comment>
    <comment ref="Q1" authorId="0" shapeId="0" xr:uid="{E5BD6962-B267-4FEF-8812-9E8CCA9C505C}">
      <text>
        <r>
          <rPr>
            <sz val="11"/>
            <color theme="1"/>
            <rFont val="Aptos Narrow"/>
            <family val="2"/>
            <scheme val="minor"/>
          </rPr>
          <t>Definition: Used to indicate if the resourcing has been planned for the current year budget
Expected Values: Y; N</t>
        </r>
      </text>
    </comment>
    <comment ref="R1" authorId="0" shapeId="0" xr:uid="{014B72AC-CF56-4FE0-81FD-787DD903AEAD}">
      <text>
        <r>
          <rPr>
            <sz val="11"/>
            <color theme="1"/>
            <rFont val="Aptos Narrow"/>
            <family val="2"/>
            <scheme val="minor"/>
          </rPr>
          <t>Definition: Indicates if a benefit is being realized in current year by the project</t>
        </r>
      </text>
    </comment>
    <comment ref="S1" authorId="0" shapeId="0" xr:uid="{D0DEBA36-0A9F-42FB-BD64-AA0985BA1FE3}">
      <text>
        <r>
          <rPr>
            <sz val="11"/>
            <color theme="1"/>
            <rFont val="Aptos Narrow"/>
            <family val="2"/>
            <scheme val="minor"/>
          </rPr>
          <t>Defintion: The team of the leader responsible for delivery of the project 
Expected Values: Data &amp; Analytics; Digitization Programs; Enterprise Applications; Technology Enablement &amp; Transformation</t>
        </r>
      </text>
    </comment>
    <comment ref="T1" authorId="0" shapeId="0" xr:uid="{E315C209-1882-4BB3-8F6C-A3128FE5880D}">
      <text>
        <r>
          <rPr>
            <sz val="11"/>
            <color theme="1"/>
            <rFont val="Aptos Narrow"/>
            <family val="2"/>
            <scheme val="minor"/>
          </rPr>
          <t>Definition: The teams needed for project delivery.  If same as column R, leave blank
Expected Values: Expected Values: Data &amp; Analytics; Digitization Programs; Enterprise Applications; Technology Enablement &amp; Transformation</t>
        </r>
      </text>
    </comment>
    <comment ref="U1" authorId="0" shapeId="0" xr:uid="{765193F4-A8A3-40C0-BD2E-E3284404407C}">
      <text>
        <r>
          <rPr>
            <sz val="11"/>
            <color theme="1"/>
            <rFont val="Aptos Narrow"/>
            <family val="2"/>
            <scheme val="minor"/>
          </rPr>
          <t>Definition: Concatenation of columns R and S to allow for a filterable option for all projects a specific team is involved with and not just leading</t>
        </r>
      </text>
    </comment>
    <comment ref="V1" authorId="0" shapeId="0" xr:uid="{E4AA5824-D5E2-4454-8E3B-96DEE831BD89}">
      <text>
        <r>
          <rPr>
            <sz val="11"/>
            <color theme="1"/>
            <rFont val="Aptos Narrow"/>
            <family val="2"/>
            <scheme val="minor"/>
          </rPr>
          <t>Definition: Individual who is responsible for delivery of the project</t>
        </r>
      </text>
    </comment>
    <comment ref="W1" authorId="0" shapeId="0" xr:uid="{75584F9E-17AA-44CB-995E-974A9B41C63B}">
      <text>
        <r>
          <rPr>
            <sz val="11"/>
            <color theme="1"/>
            <rFont val="Aptos Narrow"/>
            <family val="2"/>
            <scheme val="minor"/>
          </rPr>
          <t>Definition: Business Functional Owner for the project</t>
        </r>
      </text>
    </comment>
    <comment ref="C13" authorId="1" shapeId="0" xr:uid="{EB94B3BB-90D6-4617-8E86-F6684DEB9CAD}">
      <text>
        <t>[Threaded comment]
Your version of Excel allows you to read this threaded comment; however, any edits to it will get removed if the file is opened in a newer version of Excel. Learn more: https://go.microsoft.com/fwlink/?linkid=870924
Comment:
    Leveraging existing FTE's</t>
      </text>
    </comment>
    <comment ref="C14" authorId="2" shapeId="0" xr:uid="{B5058077-5502-4F8F-BE0B-A6746C83BE10}">
      <text>
        <t>[Threaded comment]
Your version of Excel allows you to read this threaded comment; however, any edits to it will get removed if the file is opened in a newer version of Excel. Learn more: https://go.microsoft.com/fwlink/?linkid=870924
Comment:
    Leveraging existing FTE's</t>
      </text>
    </comment>
    <comment ref="C15" authorId="3" shapeId="0" xr:uid="{6D5E2650-D5C0-46CA-A39A-299840C1F646}">
      <text>
        <t>[Threaded comment]
Your version of Excel allows you to read this threaded comment; however, any edits to it will get removed if the file is opened in a newer version of Excel. Learn more: https://go.microsoft.com/fwlink/?linkid=870924
Comment:
    Leveraging existing FTE's</t>
      </text>
    </comment>
    <comment ref="C16" authorId="4" shapeId="0" xr:uid="{E2821A2A-F5A4-48BF-9546-B1A360BEC9BE}">
      <text>
        <t>[Threaded comment]
Your version of Excel allows you to read this threaded comment; however, any edits to it will get removed if the file is opened in a newer version of Excel. Learn more: https://go.microsoft.com/fwlink/?linkid=870924
Comment:
    Leveraging existing FTE's</t>
      </text>
    </comment>
    <comment ref="C17" authorId="5" shapeId="0" xr:uid="{9B0C13AD-907E-4C37-9B10-89BD09CD5733}">
      <text>
        <t>[Threaded comment]
Your version of Excel allows you to read this threaded comment; however, any edits to it will get removed if the file is opened in a newer version of Excel. Learn more: https://go.microsoft.com/fwlink/?linkid=870924
Comment:
    Leveraging existing FTE's</t>
      </text>
    </comment>
    <comment ref="C18" authorId="6" shapeId="0" xr:uid="{CD546144-CA14-43E8-8BCD-FE33585E93CE}">
      <text>
        <t>[Threaded comment]
Your version of Excel allows you to read this threaded comment; however, any edits to it will get removed if the file is opened in a newer version of Excel. Learn more: https://go.microsoft.com/fwlink/?linkid=870924
Comment:
    Leveraging existing FTE's</t>
      </text>
    </comment>
    <comment ref="C64" authorId="7" shapeId="0" xr:uid="{95C08536-9504-4C87-A1C9-AC58CBE395A4}">
      <text>
        <t>[Threaded comment]
Your version of Excel allows you to read this threaded comment; however, any edits to it will get removed if the file is opened in a newer version of Excel. Learn more: https://go.microsoft.com/fwlink/?linkid=870924
Comment:
    Lacking platform; Lacking stakeholder buy-in; Lacking funding</t>
      </text>
    </comment>
    <comment ref="C65" authorId="8" shapeId="0" xr:uid="{82F6B5B1-B277-4B0B-B33C-3EE8546137EC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Requirement Gathering ongoing; Assumption validations ongoing; Blocked due to infrastructure</t>
      </text>
    </comment>
    <comment ref="C66" authorId="9" shapeId="0" xr:uid="{46A10BC2-E037-4D47-AE25-35C117D819D7}">
      <text>
        <t>[Threaded comment]
Your version of Excel allows you to read this threaded comment; however, any edits to it will get removed if the file is opened in a newer version of Excel. Learn more: https://go.microsoft.com/fwlink/?linkid=870924
Comment:
    Gathering business requirements; on hold due to infrastructure</t>
      </text>
    </comment>
    <comment ref="D95" authorId="10" shapeId="0" xr:uid="{C5BD1C98-D25E-42AE-974E-80341A00B4F7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Handed over to Santosh’s team</t>
      </text>
    </comment>
    <comment ref="D97" authorId="11" shapeId="0" xr:uid="{F505DD94-BB4D-4A18-86B4-A4BD0492A94F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Handed off to Santosh’s team</t>
      </text>
    </comment>
  </commentList>
</comments>
</file>

<file path=xl/sharedStrings.xml><?xml version="1.0" encoding="utf-8"?>
<sst xmlns="http://schemas.openxmlformats.org/spreadsheetml/2006/main" count="1486" uniqueCount="375">
  <si>
    <t>Project Status</t>
  </si>
  <si>
    <t>Initiative Name</t>
  </si>
  <si>
    <t>Project Name</t>
  </si>
  <si>
    <t>Description</t>
  </si>
  <si>
    <t>DT Team Accountable</t>
  </si>
  <si>
    <t>OTD
Status</t>
  </si>
  <si>
    <t>State</t>
  </si>
  <si>
    <t>Phase</t>
  </si>
  <si>
    <t>Estd. Start Date</t>
  </si>
  <si>
    <t>Estd. End
Date</t>
  </si>
  <si>
    <t>Adjusted End Date</t>
  </si>
  <si>
    <t>Category</t>
  </si>
  <si>
    <t>Business Unit</t>
  </si>
  <si>
    <t>Primary Function</t>
  </si>
  <si>
    <t>Region</t>
  </si>
  <si>
    <t>Executive Sponsor</t>
  </si>
  <si>
    <t>2026 budget?</t>
  </si>
  <si>
    <t>2026 Benefits Plan</t>
  </si>
  <si>
    <t>DT Teams Involved</t>
  </si>
  <si>
    <t>For Filter Purposes</t>
  </si>
  <si>
    <t>DT lead</t>
  </si>
  <si>
    <t>Business Project Lead</t>
  </si>
  <si>
    <t>Level of Effort</t>
  </si>
  <si>
    <t>Technology</t>
  </si>
  <si>
    <t>G</t>
  </si>
  <si>
    <t>M&amp;A - PERS realignment to Gas Power</t>
  </si>
  <si>
    <t>PERS to Gas Power Controls</t>
  </si>
  <si>
    <t>Business Development Activity</t>
  </si>
  <si>
    <t>Technology Enablement &amp; Transformation</t>
  </si>
  <si>
    <t>On Track</t>
  </si>
  <si>
    <t>Active</t>
  </si>
  <si>
    <t>Discovery</t>
  </si>
  <si>
    <t>MustDo</t>
  </si>
  <si>
    <t>PERS</t>
  </si>
  <si>
    <t>All</t>
  </si>
  <si>
    <t>N</t>
  </si>
  <si>
    <t>Taufan Tjioe</t>
  </si>
  <si>
    <t>Hardware and Platform Obsolesence</t>
  </si>
  <si>
    <t>Hardware and Platform Obsolesence - Edinburgh</t>
  </si>
  <si>
    <t>Replacement of legacy platform in the Edinburgh datacenter to reduce hardware failure risk and cyber obsolesence.</t>
  </si>
  <si>
    <t>Product Tech Solutions &amp; Operations</t>
  </si>
  <si>
    <t>Launch</t>
  </si>
  <si>
    <t>Grid</t>
  </si>
  <si>
    <t>DT</t>
  </si>
  <si>
    <t>Ross McIntyre</t>
  </si>
  <si>
    <t>Y</t>
  </si>
  <si>
    <t>Grid DT Ops</t>
  </si>
  <si>
    <t>Steven Smith</t>
  </si>
  <si>
    <t>N/A</t>
  </si>
  <si>
    <t>M&amp;A Project Montreal (NDA)</t>
  </si>
  <si>
    <t>Project Montreal (NDA)</t>
  </si>
  <si>
    <t>NDA Business Development Activity</t>
  </si>
  <si>
    <t>Requirements</t>
  </si>
  <si>
    <t>Strategic/LTGrowth</t>
  </si>
  <si>
    <t>M&amp;A</t>
  </si>
  <si>
    <t>Global</t>
  </si>
  <si>
    <t>Geoffrey Marsh</t>
  </si>
  <si>
    <t>Data &amp; Analytics</t>
  </si>
  <si>
    <t>Russama Niramolsophakul</t>
  </si>
  <si>
    <t>Large</t>
  </si>
  <si>
    <t>NA</t>
  </si>
  <si>
    <t>ERP DevOps</t>
  </si>
  <si>
    <t>IACS Large table partitioning</t>
  </si>
  <si>
    <t>Finance maintenance of indexing X large table with Golden Gate</t>
  </si>
  <si>
    <t>Enterprise Applications</t>
  </si>
  <si>
    <t>Verify</t>
  </si>
  <si>
    <t>Finance</t>
  </si>
  <si>
    <t>Reema Nath</t>
  </si>
  <si>
    <t>Seshu Kilaru</t>
  </si>
  <si>
    <t>Grid ServiceNow Transformation</t>
  </si>
  <si>
    <t>Grid Customer Portal</t>
  </si>
  <si>
    <t>Customer portal for Grid on ServiceNow</t>
  </si>
  <si>
    <t>Build</t>
  </si>
  <si>
    <t>Customer Success</t>
  </si>
  <si>
    <t>Vince Padua</t>
  </si>
  <si>
    <t>Catherine Lee, Abhishek Ramachandran</t>
  </si>
  <si>
    <t>Tucker King</t>
  </si>
  <si>
    <t>XLarge</t>
  </si>
  <si>
    <t>Vernova HQ Initiatives</t>
  </si>
  <si>
    <t>HR3 integration failures</t>
  </si>
  <si>
    <t>HR3 integration failures because IFG has changed to GE Renewable Energy from GE Digital</t>
  </si>
  <si>
    <t>Medium</t>
  </si>
  <si>
    <t>TC exit</t>
  </si>
  <si>
    <t>Move all Thread Connect integration to OIC</t>
  </si>
  <si>
    <t>Sripati Neti</t>
  </si>
  <si>
    <t>Kishore Pasumarty</t>
  </si>
  <si>
    <t>Benin LE migration</t>
  </si>
  <si>
    <t>Benin LE migration to Fusion</t>
  </si>
  <si>
    <t>Data &amp; AI</t>
  </si>
  <si>
    <t>Adjusted plan</t>
  </si>
  <si>
    <t>Tom Mabry</t>
  </si>
  <si>
    <t>Digitization Programs</t>
  </si>
  <si>
    <t>Bala Chander</t>
  </si>
  <si>
    <t>Segun Akinsanya</t>
  </si>
  <si>
    <t>Grid A&amp;S Pipeline Reporting</t>
  </si>
  <si>
    <t>Grid CRMA Integration</t>
  </si>
  <si>
    <t>Brenna Burns</t>
  </si>
  <si>
    <t>David Cox</t>
  </si>
  <si>
    <t>GE Rebranding</t>
  </si>
  <si>
    <t>Migrate all UX, Email and Domain to GE Vernova branding</t>
  </si>
  <si>
    <t>James Kiger</t>
  </si>
  <si>
    <t>Mahesh Acholkar</t>
  </si>
  <si>
    <t>M&amp;A Project Eagle - Alteia</t>
  </si>
  <si>
    <t>Project Eagle (NDA)</t>
  </si>
  <si>
    <t>EMEA</t>
  </si>
  <si>
    <t>Brian Hoff</t>
  </si>
  <si>
    <t>Unit Economics</t>
  </si>
  <si>
    <t>Discovery - MS Access DB</t>
  </si>
  <si>
    <t>Fit/Gap; Process Maps; Existing systems</t>
  </si>
  <si>
    <t>Productivity</t>
  </si>
  <si>
    <t>Raman Nagarajan</t>
  </si>
  <si>
    <t>Emily Schreiner/Charles Norton</t>
  </si>
  <si>
    <t>Discovery - Product Workstream</t>
  </si>
  <si>
    <t>Emily Schreiner</t>
  </si>
  <si>
    <t>Small</t>
  </si>
  <si>
    <t>Discovery - Cash Workstream</t>
  </si>
  <si>
    <t>Discovery - Services Workstream</t>
  </si>
  <si>
    <t>Discovery - Support Workstream</t>
  </si>
  <si>
    <t>Discovery - Profitability Workstream</t>
  </si>
  <si>
    <t>GEV HQ Initiative to update all Divisions</t>
  </si>
  <si>
    <t>GEV HQ Initiative to update all Divisions (IFG, Segment, Sub-Business) in WD / Atlas / Fusion</t>
  </si>
  <si>
    <t>Hardware and Platform Obsolesence - Lynnwood</t>
  </si>
  <si>
    <t>Slip</t>
  </si>
  <si>
    <t>MJE Approval alignment</t>
  </si>
  <si>
    <t>MJE Approval process to align with GEV HQ Process</t>
  </si>
  <si>
    <t>Tricia Elgee</t>
  </si>
  <si>
    <t>Tableau to Power BI Migration</t>
  </si>
  <si>
    <t>Tableau to Power Migration</t>
  </si>
  <si>
    <t>Grid Customer Portal Pro+ enablement</t>
  </si>
  <si>
    <t>Enable advanced AI and agentic capabilities on ServiceNow</t>
  </si>
  <si>
    <t>Reza Rahman</t>
  </si>
  <si>
    <t>OneIDM exit to MAP</t>
  </si>
  <si>
    <t>Migrate OneIDM to My Access Portal (MAP)</t>
  </si>
  <si>
    <t>L2C Transformation</t>
  </si>
  <si>
    <t>Grid AI enabled Proposal Management (Phase 1)</t>
  </si>
  <si>
    <t>AI Enabled peoposal management tool to generate proposals from DD0-DD3 steps</t>
  </si>
  <si>
    <t>Commercial</t>
  </si>
  <si>
    <t>Praveen Lala</t>
  </si>
  <si>
    <t>Extra Large</t>
  </si>
  <si>
    <t>SFDC, Oracle CPQ, Proporal Mgmt. Platform</t>
  </si>
  <si>
    <t>DevOps</t>
  </si>
  <si>
    <t>Data Operations - Defect Support</t>
  </si>
  <si>
    <t>Placeholder for Data DevOps work</t>
  </si>
  <si>
    <t>Many</t>
  </si>
  <si>
    <t>Data Enhancements</t>
  </si>
  <si>
    <t>Data Operations - Enhancements</t>
  </si>
  <si>
    <t>Placeholder for small enhancements executed by the Data Run Team</t>
  </si>
  <si>
    <t>Alteia migration</t>
  </si>
  <si>
    <t>Alteia S2P migration to Fusion</t>
  </si>
  <si>
    <t>Alteia S2P migration to Fusion - Procure to Pay</t>
  </si>
  <si>
    <t>Raman Nagarajan, Elena Bachniak</t>
  </si>
  <si>
    <t>Elena Bachniak</t>
  </si>
  <si>
    <t>Grid Q2C transformation + Alteia Q2C Migration</t>
  </si>
  <si>
    <t>Grid Q2C transformation + Alteia Migration</t>
  </si>
  <si>
    <t>Raman Nagarajan, Praveen Lala</t>
  </si>
  <si>
    <t>Oracle CPQ, SFDC, OIC, Fusion</t>
  </si>
  <si>
    <t>Corp ITO Project Tracking</t>
  </si>
  <si>
    <t>Sonna Brown</t>
  </si>
  <si>
    <t>TBD</t>
  </si>
  <si>
    <t>Corp Compliance Hub</t>
  </si>
  <si>
    <t>ERP Infrastructure</t>
  </si>
  <si>
    <t>IACS Retirement</t>
  </si>
  <si>
    <t>Retire IACS and continue to send data to VDL</t>
  </si>
  <si>
    <t>Evaluation</t>
  </si>
  <si>
    <t>Minal Merchant</t>
  </si>
  <si>
    <t>Data &amp; AI Platform</t>
  </si>
  <si>
    <t>Data &amp; AI Platform Discovery</t>
  </si>
  <si>
    <t>Evaluation and Recommendation of Data &amp; AI platform</t>
  </si>
  <si>
    <t>GitHub.com</t>
  </si>
  <si>
    <t>Grid SW move from GitHub Entprise Server to SaaS GitHub.com</t>
  </si>
  <si>
    <t>Engineering</t>
  </si>
  <si>
    <t>Jagan Rahgu</t>
  </si>
  <si>
    <t>Jagan Raghu</t>
  </si>
  <si>
    <t>ESW Software Investment and Governance Framework</t>
  </si>
  <si>
    <t>Implement a system that allows for centralized management of software licenses, agreements, contracts and costs across all of ESW.</t>
  </si>
  <si>
    <t>Prakash Seshadri</t>
  </si>
  <si>
    <t>Funnel</t>
  </si>
  <si>
    <t>Odoo Retirement</t>
  </si>
  <si>
    <t>Data &amp; AI Platform Implementation</t>
  </si>
  <si>
    <t>Implementation of Data &amp; AI platform</t>
  </si>
  <si>
    <t>ERP Enhancements</t>
  </si>
  <si>
    <t>Enable AI in Fusion ERP</t>
  </si>
  <si>
    <t>Oracle Fusion Enhancements (Finance, Services)</t>
  </si>
  <si>
    <t>Enable Timesheet in P6 &amp; integration to Fusion</t>
  </si>
  <si>
    <t>ERP Data Migration</t>
  </si>
  <si>
    <t>Unit Economics Intermediate Automation - MS Access DB</t>
  </si>
  <si>
    <t>Automating existing process</t>
  </si>
  <si>
    <t>Unit Economics Intermediate Automation - Product Workstream</t>
  </si>
  <si>
    <t>Unit Economics Intermediate Automation - Cash Workstream</t>
  </si>
  <si>
    <t>Unit Economics Intermediate Automation - Services</t>
  </si>
  <si>
    <t>Unit Economics Intermediate Automation - Support</t>
  </si>
  <si>
    <t>Unit Economics Intermediate Automation - Profitability</t>
  </si>
  <si>
    <t>System of Record - MS Access DB</t>
  </si>
  <si>
    <t>Fully automated from systems of record (not Excel)</t>
  </si>
  <si>
    <t>System of Record - Profitability</t>
  </si>
  <si>
    <t>System of Record - Support</t>
  </si>
  <si>
    <t>System of Record - Services</t>
  </si>
  <si>
    <t>System of Record - Product</t>
  </si>
  <si>
    <t>System of Record - Cash</t>
  </si>
  <si>
    <t>Ledger Based Reporting (Phase 2)</t>
  </si>
  <si>
    <t>Revamp CoCo and Natural Account, LE migration from SAP to Fusion</t>
  </si>
  <si>
    <t>Tom Welcome</t>
  </si>
  <si>
    <t>Migrate CCL Classic to CCL Fusion</t>
  </si>
  <si>
    <t>GEV HQ</t>
  </si>
  <si>
    <t>Tom Welcome/Tricia Elgee</t>
  </si>
  <si>
    <t>AI enablement of ServiceNow</t>
  </si>
  <si>
    <t>Execute on the AI enablement roadmap for ServiceNow, using Customer Service Pro Plus capabilities</t>
  </si>
  <si>
    <t>ServiceNow</t>
  </si>
  <si>
    <t>VMR, VMO and Contract Management</t>
  </si>
  <si>
    <t>Adopt a management system for DT vendor contracts to assist with renewals, budget allocation and portfolio</t>
  </si>
  <si>
    <t>Slack for Grid Engineering and Alteia</t>
  </si>
  <si>
    <t>Evaluate and securely implement the use of Slack for Grid Engineering Teams</t>
  </si>
  <si>
    <t>Product Technology Solutions &amp; Infrastructure</t>
  </si>
  <si>
    <t>Devang Gandhi</t>
  </si>
  <si>
    <t>PC and Mac Image Validation</t>
  </si>
  <si>
    <t>Develop scripts which run regression tests against common engineering use cases to validate that the latest PC and Mac images will work for software engineers</t>
  </si>
  <si>
    <t>Denny Walsh</t>
  </si>
  <si>
    <t>GrIp</t>
  </si>
  <si>
    <t>GrIP Program</t>
  </si>
  <si>
    <t>Grid Services Grip tool must undergo change prior to March 2027</t>
  </si>
  <si>
    <t>Kapil Kapoor</t>
  </si>
  <si>
    <t>Catherine Lee</t>
  </si>
  <si>
    <t>Umesh Adlaka</t>
  </si>
  <si>
    <t>Grid Product360</t>
  </si>
  <si>
    <t>Phase 2 Discovery</t>
  </si>
  <si>
    <t>Obtain stakeholder buy in for execution of expanding data model and adding AI capabilities</t>
  </si>
  <si>
    <t>Hold</t>
  </si>
  <si>
    <t>OneLake Data Ingestion</t>
  </si>
  <si>
    <t>VNDLY Contractor Data</t>
  </si>
  <si>
    <t>VNDLY contractor data for analytics purposes</t>
  </si>
  <si>
    <t>Becky Bach</t>
  </si>
  <si>
    <t>T&amp;L Data</t>
  </si>
  <si>
    <t>T&amp;L data for analytics purposes</t>
  </si>
  <si>
    <t>Grid CPQ</t>
  </si>
  <si>
    <t>Roll out CPQ platform to Grid</t>
  </si>
  <si>
    <t>Closure</t>
  </si>
  <si>
    <t>Post-Launch</t>
  </si>
  <si>
    <t>SFDC &amp; CPQ Team</t>
  </si>
  <si>
    <t>Avinash Udupa</t>
  </si>
  <si>
    <t>SFDC, Oracle CPQ</t>
  </si>
  <si>
    <t>Consolidate ITCM into ServiceNow</t>
  </si>
  <si>
    <t>Merge multiple IT Change Management tools into ServiceNow</t>
  </si>
  <si>
    <t>Cecil Mathew</t>
  </si>
  <si>
    <t>Keystone (formerly SSOT)</t>
  </si>
  <si>
    <t>SSOT - Release 1</t>
  </si>
  <si>
    <t>KPI metrics (Commercial Pipeline, Orders, Revenue)</t>
  </si>
  <si>
    <t>Jon Bosland</t>
  </si>
  <si>
    <t>Emily</t>
  </si>
  <si>
    <t>Palmer Hong</t>
  </si>
  <si>
    <t>EMR, Tableau</t>
  </si>
  <si>
    <t>ARR Wave 1</t>
  </si>
  <si>
    <t>LTC Transformation</t>
  </si>
  <si>
    <t>Comm&amp;Mktg</t>
  </si>
  <si>
    <t>Deepak Rohitas</t>
  </si>
  <si>
    <t>Jeff Bartoletti</t>
  </si>
  <si>
    <t>SSOT Kaizen</t>
  </si>
  <si>
    <t>DT Strategic Initiative</t>
  </si>
  <si>
    <t>OIC Gen3 Upgrade</t>
  </si>
  <si>
    <t>Upgrade the OIC platform and integrations from GEN 2 to GEN 3</t>
  </si>
  <si>
    <t>Grid Services Resourcing Initiative</t>
  </si>
  <si>
    <t>Demand Planning Dashboard</t>
  </si>
  <si>
    <t>Create automated reporting to help with resourcing decisions for the Grid Services team</t>
  </si>
  <si>
    <t>Molly Schwarzmiller</t>
  </si>
  <si>
    <t>Deal Pipeline Dashboard</t>
  </si>
  <si>
    <t>Created automated reporting to help the Grid team determine future resource needs</t>
  </si>
  <si>
    <t>SSOT - Release 2</t>
  </si>
  <si>
    <t>PMO Analytics</t>
  </si>
  <si>
    <t>Engineering Bowler Dashboard</t>
  </si>
  <si>
    <t>Digitize the Engineering Bowler for Prakash</t>
  </si>
  <si>
    <t>Vinay Jammu</t>
  </si>
  <si>
    <t>Grid Headcount Dashboard</t>
  </si>
  <si>
    <t>Digitize the recording and sharing of headcount allocation and forecasting</t>
  </si>
  <si>
    <t>GridOS Product360 Dashboard - Phase 1</t>
  </si>
  <si>
    <t>Provide a holistic view of the GridOS Program</t>
  </si>
  <si>
    <t>Lance Grow</t>
  </si>
  <si>
    <t>BD Project Sakura - TOP</t>
  </si>
  <si>
    <t>Project Sakura - TOP</t>
  </si>
  <si>
    <t>Employee to Contractor for legacy Grid</t>
  </si>
  <si>
    <t>Rebecca Bach</t>
  </si>
  <si>
    <t>M&amp;A Project Slate - ROB-EX</t>
  </si>
  <si>
    <t>Project Slate - ROB-EX</t>
  </si>
  <si>
    <t>Acquisition DT Onboarding</t>
  </si>
  <si>
    <t>Mfg</t>
  </si>
  <si>
    <t>Jakob Hall</t>
  </si>
  <si>
    <t>Daniele Buttigli</t>
  </si>
  <si>
    <t>Lead-to-Cash Transformation Wave 2.2</t>
  </si>
  <si>
    <t>Wing-to-wing transformation of ITO and OTR</t>
  </si>
  <si>
    <t>Scott Reese</t>
  </si>
  <si>
    <t>Jeff Bartoletti, Kelly Thomas &amp; Melissa Eleuteri</t>
  </si>
  <si>
    <t>Marketing Transformation</t>
  </si>
  <si>
    <t>Zoominfo Implementation</t>
  </si>
  <si>
    <t>Improve the lead generation capabilities of the BUs</t>
  </si>
  <si>
    <t>Marketing</t>
  </si>
  <si>
    <t>Jeff Bartoletti, Tracy Dearing, Tracy Swartzendruber</t>
  </si>
  <si>
    <t>Brittany Lyons, Sharath Kumar</t>
  </si>
  <si>
    <t>Brittany Lyons</t>
  </si>
  <si>
    <t>Bindu Oleti, Lauren Hewlett</t>
  </si>
  <si>
    <t>SFDC, 6Sense, Zoominfo, Marketo, Hive</t>
  </si>
  <si>
    <t>GE Aerospace ThreadConnect Decommissioning</t>
  </si>
  <si>
    <t>Migrating OneIDM ThreadConnect integrations to OIC</t>
  </si>
  <si>
    <t>Atomic replacement with Control-M</t>
  </si>
  <si>
    <t>Migrate all Atomic jobs to Control-M as we are exiting the Broadcom contract</t>
  </si>
  <si>
    <t>Christina Clark</t>
  </si>
  <si>
    <t>Matt Singer</t>
  </si>
  <si>
    <t>Lead-to-Cash Transformation Wave 2.3</t>
  </si>
  <si>
    <t>Einstein Opportunity Scoring</t>
  </si>
  <si>
    <t>AI enabled Opportunity &amp; Lead scoring</t>
  </si>
  <si>
    <t>Reema Nath, Melissa Euleteri</t>
  </si>
  <si>
    <t>Sharath Kumar</t>
  </si>
  <si>
    <t>Palmer Hong, Melissa Eleuteri</t>
  </si>
  <si>
    <t>Drift chatbot replacement</t>
  </si>
  <si>
    <t>AI enabled chatbot for all 3 BUs</t>
  </si>
  <si>
    <t>Kaila Brittain</t>
  </si>
  <si>
    <t>Lauren Hewlett, Tracy Swartzendruber, Bindu Oleti</t>
  </si>
  <si>
    <t>Lead-to-Cash Transformation Wave 2.1</t>
  </si>
  <si>
    <t>Marketo, SFDC, Oracle CPQ, OIC, Boomi, Fusion, D&amp;A</t>
  </si>
  <si>
    <t>Marketing &amp; Commercial Reporting</t>
  </si>
  <si>
    <t>Marketing Analytics &amp; Reporting</t>
  </si>
  <si>
    <t>Markting dashboards for all 3 BUs</t>
  </si>
  <si>
    <t>Sharath Kumar, Data &amp; Analytics</t>
  </si>
  <si>
    <t>Lauren Hewlett, Bindu Oleti</t>
  </si>
  <si>
    <t>QA Automation</t>
  </si>
  <si>
    <t>Agile</t>
  </si>
  <si>
    <t>Ongoing</t>
  </si>
  <si>
    <t>Anil Kumar Karthik</t>
  </si>
  <si>
    <t>Mahesh Acholkar, Vikas Goli, Hemant Bissa</t>
  </si>
  <si>
    <t>AccelQ</t>
  </si>
  <si>
    <t>Sabrix Migration</t>
  </si>
  <si>
    <t>Migrate to OneSource</t>
  </si>
  <si>
    <t>Move On-Prem to Cloud</t>
  </si>
  <si>
    <t>Mark Deyo</t>
  </si>
  <si>
    <t>Middleware Enhancements</t>
  </si>
  <si>
    <t>Application Teams</t>
  </si>
  <si>
    <t>Customer Connect SaaS Migration</t>
  </si>
  <si>
    <t>GEV is moving from an on-premise solution to a SaaS solution. Will require UAT testing from SFDC team</t>
  </si>
  <si>
    <t>Santosh Kudva</t>
  </si>
  <si>
    <t>Data &amp; Analytics; Enterprise Applications</t>
  </si>
  <si>
    <t>GridOS Product360 Dashboard - Phase 2</t>
  </si>
  <si>
    <t>Phase 2 of the GridOS Product360 dashboard</t>
  </si>
  <si>
    <t>Customer Strategic Account Analytics</t>
  </si>
  <si>
    <t>Migration of the SynerGE tool to the GEV HQ team</t>
  </si>
  <si>
    <t>Charles Norton</t>
  </si>
  <si>
    <t>OneBiller exit</t>
  </si>
  <si>
    <t>Exit OneBiller and move functionality to Fusion AR/IBS</t>
  </si>
  <si>
    <t>Josh White</t>
  </si>
  <si>
    <t>FDL to VDL Migration</t>
  </si>
  <si>
    <t>Migrate off the FDL platform (owned by EY) to the VDL platform (owned by GEV)</t>
  </si>
  <si>
    <t>Grid Contract Requirement Management Dashboard</t>
  </si>
  <si>
    <t>Provide the Product team with insight into product commitments, due dates, and penalties</t>
  </si>
  <si>
    <t>Customer 360 Kaizen (Oct 2024)</t>
  </si>
  <si>
    <t>Data work to support the Customer 360 Kaizen and the ongoing support</t>
  </si>
  <si>
    <t>Dave Seward, Melanie Brittingham</t>
  </si>
  <si>
    <t>L2C Reporting Modifications</t>
  </si>
  <si>
    <t>Reporting changes required to sustain existing reports as a result of the L2C transformation</t>
  </si>
  <si>
    <t>Karthik</t>
  </si>
  <si>
    <t>Romania - Fusion ERP</t>
  </si>
  <si>
    <t>Migrate Romania to Fusion ERP</t>
  </si>
  <si>
    <t>Karan Bhalla</t>
  </si>
  <si>
    <t>GEV SMO Project</t>
  </si>
  <si>
    <t>Migration of integrations on TSA to the Vernova platforms</t>
  </si>
  <si>
    <t>Dive Dashboard Decommissioning</t>
  </si>
  <si>
    <t>Replacing the monitoring tool for the integrations platform - mandated by GEV</t>
  </si>
  <si>
    <t>Artifactory Redesign</t>
  </si>
  <si>
    <t>Software build artifact repository for customer sold software - needed for Grid ServiceNow Transformation.</t>
  </si>
  <si>
    <t>Cancelled</t>
  </si>
  <si>
    <t>Max Steele</t>
  </si>
  <si>
    <t>DT Team List</t>
  </si>
  <si>
    <t>Business Functions</t>
  </si>
  <si>
    <t>Legal</t>
  </si>
  <si>
    <t>HR</t>
  </si>
  <si>
    <t>Strategy</t>
  </si>
  <si>
    <t>Migrate Tableau dashboards to Power BI to save $100K/year in costs</t>
  </si>
  <si>
    <t>Engineering Flow Metrics</t>
  </si>
  <si>
    <t>Oracle Fusion Enhancements which will be transitioned from Seshu to Mina;'s team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</si>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</sst>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[$-409]d\-mmm\-yy;@"/>
    <numFmt numFmtId="166" formatCode="_(&quot;$&quot;* #,##0_);_(&quot;$&quot;* \(#,##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Helvetica"/>
      <family val="2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8D3E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2" fillId="0" borderId="0" xfId="0" applyFont="1"/>
    <xf numFmtId="0" fontId="0" fillId="3" borderId="1" xfId="0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6" borderId="3" xfId="0" applyFill="1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6" borderId="8" xfId="0" applyFill="1" applyBorder="1" applyAlignment="1">
      <alignment wrapText="1"/>
    </xf>
    <xf numFmtId="0" fontId="0" fillId="6" borderId="8" xfId="0" applyFill="1" applyBorder="1" applyAlignment="1">
      <alignment horizontal="center"/>
    </xf>
    <xf numFmtId="14" fontId="0" fillId="6" borderId="8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8" xfId="0" applyFill="1" applyBorder="1" applyAlignment="1">
      <alignment horizontal="left" wrapText="1"/>
    </xf>
    <xf numFmtId="0" fontId="0" fillId="5" borderId="8" xfId="0" applyFill="1" applyBorder="1" applyAlignment="1">
      <alignment horizontal="center"/>
    </xf>
    <xf numFmtId="0" fontId="0" fillId="3" borderId="8" xfId="0" applyFill="1" applyBorder="1"/>
    <xf numFmtId="0" fontId="0" fillId="3" borderId="8" xfId="0" applyFill="1" applyBorder="1" applyAlignment="1">
      <alignment wrapText="1"/>
    </xf>
    <xf numFmtId="165" fontId="0" fillId="4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/>
    <xf numFmtId="0" fontId="0" fillId="2" borderId="8" xfId="0" applyFill="1" applyBorder="1" applyAlignment="1">
      <alignment wrapText="1"/>
    </xf>
    <xf numFmtId="0" fontId="1" fillId="2" borderId="8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5" borderId="2" xfId="0" applyFill="1" applyBorder="1" applyAlignment="1">
      <alignment horizontal="center"/>
    </xf>
    <xf numFmtId="0" fontId="0" fillId="3" borderId="2" xfId="0" applyFill="1" applyBorder="1"/>
    <xf numFmtId="14" fontId="0" fillId="6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wrapText="1"/>
    </xf>
    <xf numFmtId="0" fontId="0" fillId="6" borderId="10" xfId="0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wrapText="1"/>
    </xf>
    <xf numFmtId="0" fontId="0" fillId="5" borderId="14" xfId="0" applyFill="1" applyBorder="1" applyAlignment="1">
      <alignment horizontal="center"/>
    </xf>
    <xf numFmtId="0" fontId="0" fillId="3" borderId="14" xfId="0" applyFill="1" applyBorder="1"/>
    <xf numFmtId="165" fontId="0" fillId="4" borderId="14" xfId="0" applyNumberFormat="1" applyFill="1" applyBorder="1" applyAlignment="1">
      <alignment horizontal="center"/>
    </xf>
    <xf numFmtId="0" fontId="0" fillId="6" borderId="2" xfId="0" applyFill="1" applyBorder="1" applyAlignment="1">
      <alignment wrapText="1"/>
    </xf>
    <xf numFmtId="0" fontId="0" fillId="6" borderId="1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4" fontId="0" fillId="6" borderId="13" xfId="0" applyNumberForma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 applyAlignment="1">
      <alignment wrapText="1"/>
    </xf>
    <xf numFmtId="0" fontId="0" fillId="5" borderId="13" xfId="0" applyFill="1" applyBorder="1" applyAlignment="1">
      <alignment horizontal="center"/>
    </xf>
    <xf numFmtId="0" fontId="0" fillId="3" borderId="13" xfId="0" applyFill="1" applyBorder="1"/>
    <xf numFmtId="0" fontId="0" fillId="0" borderId="15" xfId="0" applyBorder="1" applyAlignment="1">
      <alignment horizontal="center" vertical="center"/>
    </xf>
    <xf numFmtId="0" fontId="0" fillId="3" borderId="3" xfId="0" applyFill="1" applyBorder="1" applyAlignment="1">
      <alignment wrapText="1"/>
    </xf>
    <xf numFmtId="165" fontId="0" fillId="4" borderId="13" xfId="0" applyNumberFormat="1" applyFill="1" applyBorder="1" applyAlignment="1">
      <alignment horizontal="center"/>
    </xf>
    <xf numFmtId="14" fontId="7" fillId="9" borderId="8" xfId="0" applyNumberFormat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4" fontId="0" fillId="6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5" borderId="3" xfId="0" applyFill="1" applyBorder="1" applyAlignment="1">
      <alignment horizontal="center"/>
    </xf>
    <xf numFmtId="0" fontId="0" fillId="3" borderId="3" xfId="0" applyFill="1" applyBorder="1"/>
    <xf numFmtId="165" fontId="0" fillId="4" borderId="15" xfId="0" applyNumberFormat="1" applyFill="1" applyBorder="1" applyAlignment="1">
      <alignment horizontal="center"/>
    </xf>
    <xf numFmtId="0" fontId="0" fillId="6" borderId="8" xfId="0" applyFill="1" applyBorder="1" applyAlignment="1">
      <alignment horizontal="fill" wrapText="1"/>
    </xf>
    <xf numFmtId="0" fontId="2" fillId="6" borderId="8" xfId="0" applyFont="1" applyFill="1" applyBorder="1" applyAlignment="1">
      <alignment horizontal="center" wrapText="1"/>
    </xf>
    <xf numFmtId="164" fontId="2" fillId="3" borderId="8" xfId="0" applyNumberFormat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textRotation="90" wrapText="1"/>
    </xf>
    <xf numFmtId="0" fontId="5" fillId="3" borderId="8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left" wrapText="1"/>
    </xf>
    <xf numFmtId="0" fontId="2" fillId="3" borderId="8" xfId="0" applyFont="1" applyFill="1" applyBorder="1"/>
    <xf numFmtId="0" fontId="0" fillId="14" borderId="8" xfId="0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6" borderId="8" xfId="0" applyFill="1" applyBorder="1" applyAlignment="1">
      <alignment horizontal="center" wrapText="1"/>
    </xf>
    <xf numFmtId="14" fontId="0" fillId="6" borderId="8" xfId="0" applyNumberFormat="1" applyFill="1" applyBorder="1" applyAlignment="1">
      <alignment horizontal="center" wrapText="1"/>
    </xf>
    <xf numFmtId="164" fontId="0" fillId="3" borderId="8" xfId="0" applyNumberForma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165" fontId="0" fillId="4" borderId="8" xfId="0" applyNumberForma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6" borderId="11" xfId="0" applyFill="1" applyBorder="1" applyAlignment="1">
      <alignment horizontal="center"/>
    </xf>
    <xf numFmtId="166" fontId="7" fillId="13" borderId="19" xfId="0" applyNumberFormat="1" applyFont="1" applyFill="1" applyBorder="1"/>
    <xf numFmtId="0" fontId="0" fillId="6" borderId="13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left" wrapText="1"/>
    </xf>
    <xf numFmtId="0" fontId="0" fillId="6" borderId="12" xfId="0" applyFill="1" applyBorder="1" applyAlignment="1">
      <alignment wrapText="1"/>
    </xf>
    <xf numFmtId="0" fontId="0" fillId="15" borderId="8" xfId="0" applyFill="1" applyBorder="1" applyAlignment="1">
      <alignment horizontal="center"/>
    </xf>
    <xf numFmtId="0" fontId="0" fillId="6" borderId="13" xfId="0" applyFill="1" applyBorder="1" applyAlignment="1">
      <alignment horizontal="fill" wrapText="1"/>
    </xf>
    <xf numFmtId="0" fontId="0" fillId="3" borderId="13" xfId="0" applyFill="1" applyBorder="1" applyAlignment="1">
      <alignment wrapText="1"/>
    </xf>
    <xf numFmtId="0" fontId="0" fillId="14" borderId="13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6" borderId="13" xfId="0" applyFont="1" applyFill="1" applyBorder="1" applyAlignment="1">
      <alignment horizontal="center" wrapText="1"/>
    </xf>
    <xf numFmtId="0" fontId="0" fillId="6" borderId="13" xfId="0" applyFill="1" applyBorder="1" applyAlignment="1">
      <alignment horizontal="center" wrapText="1"/>
    </xf>
    <xf numFmtId="14" fontId="0" fillId="6" borderId="17" xfId="0" applyNumberFormat="1" applyFill="1" applyBorder="1" applyAlignment="1">
      <alignment horizontal="center" wrapText="1"/>
    </xf>
    <xf numFmtId="164" fontId="0" fillId="3" borderId="13" xfId="0" applyNumberForma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3" borderId="0" xfId="0" applyFill="1" applyAlignment="1">
      <alignment wrapText="1"/>
    </xf>
    <xf numFmtId="165" fontId="0" fillId="4" borderId="13" xfId="0" applyNumberFormat="1" applyFill="1" applyBorder="1" applyAlignment="1">
      <alignment horizontal="center" wrapText="1"/>
    </xf>
    <xf numFmtId="0" fontId="0" fillId="6" borderId="10" xfId="0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/>
    <xf numFmtId="0" fontId="2" fillId="7" borderId="18" xfId="0" applyFont="1" applyFill="1" applyBorder="1" applyAlignment="1">
      <alignment wrapText="1"/>
    </xf>
    <xf numFmtId="0" fontId="2" fillId="6" borderId="14" xfId="0" applyFont="1" applyFill="1" applyBorder="1" applyAlignment="1">
      <alignment wrapText="1"/>
    </xf>
    <xf numFmtId="0" fontId="2" fillId="6" borderId="14" xfId="0" applyFont="1" applyFill="1" applyBorder="1" applyAlignment="1">
      <alignment horizontal="left" wrapText="1"/>
    </xf>
    <xf numFmtId="0" fontId="5" fillId="3" borderId="14" xfId="0" applyFont="1" applyFill="1" applyBorder="1" applyAlignment="1">
      <alignment horizontal="left" wrapText="1"/>
    </xf>
    <xf numFmtId="0" fontId="2" fillId="6" borderId="14" xfId="0" applyFont="1" applyFill="1" applyBorder="1" applyAlignment="1">
      <alignment horizontal="center" wrapText="1"/>
    </xf>
    <xf numFmtId="0" fontId="0" fillId="6" borderId="13" xfId="0" applyFill="1" applyBorder="1" applyAlignment="1">
      <alignment horizontal="center"/>
    </xf>
    <xf numFmtId="164" fontId="2" fillId="3" borderId="14" xfId="0" applyNumberFormat="1" applyFont="1" applyFill="1" applyBorder="1" applyAlignment="1">
      <alignment horizontal="center" wrapText="1"/>
    </xf>
    <xf numFmtId="0" fontId="0" fillId="6" borderId="17" xfId="0" applyFill="1" applyBorder="1" applyAlignment="1">
      <alignment wrapText="1"/>
    </xf>
    <xf numFmtId="0" fontId="0" fillId="6" borderId="11" xfId="0" applyFill="1" applyBorder="1" applyAlignment="1">
      <alignment horizontal="fill" wrapText="1"/>
    </xf>
    <xf numFmtId="0" fontId="3" fillId="6" borderId="17" xfId="0" applyFont="1" applyFill="1" applyBorder="1" applyAlignment="1">
      <alignment wrapText="1"/>
    </xf>
    <xf numFmtId="0" fontId="0" fillId="6" borderId="4" xfId="0" applyFill="1" applyBorder="1" applyAlignment="1">
      <alignment horizontal="fill" wrapText="1"/>
    </xf>
    <xf numFmtId="0" fontId="0" fillId="6" borderId="7" xfId="0" applyFill="1" applyBorder="1" applyAlignment="1">
      <alignment horizontal="fill" wrapText="1"/>
    </xf>
    <xf numFmtId="0" fontId="0" fillId="6" borderId="7" xfId="0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6" borderId="20" xfId="0" applyFill="1" applyBorder="1" applyAlignment="1">
      <alignment wrapText="1"/>
    </xf>
    <xf numFmtId="14" fontId="0" fillId="6" borderId="10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9" xfId="0" applyFill="1" applyBorder="1" applyAlignment="1">
      <alignment wrapText="1"/>
    </xf>
    <xf numFmtId="0" fontId="3" fillId="2" borderId="8" xfId="0" applyFont="1" applyFill="1" applyBorder="1" applyAlignment="1">
      <alignment horizontal="left"/>
    </xf>
    <xf numFmtId="0" fontId="0" fillId="3" borderId="9" xfId="0" applyFill="1" applyBorder="1"/>
    <xf numFmtId="0" fontId="0" fillId="3" borderId="17" xfId="0" applyFill="1" applyBorder="1"/>
    <xf numFmtId="0" fontId="0" fillId="0" borderId="3" xfId="0" applyBorder="1" applyAlignment="1">
      <alignment horizontal="center" vertical="center"/>
    </xf>
    <xf numFmtId="0" fontId="7" fillId="9" borderId="8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 readingOrder="1"/>
    </xf>
    <xf numFmtId="0" fontId="1" fillId="5" borderId="8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64" fontId="7" fillId="10" borderId="8" xfId="0" applyNumberFormat="1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8" xfId="0" applyFont="1" applyFill="1" applyBorder="1" applyAlignment="1">
      <alignment wrapText="1"/>
    </xf>
    <xf numFmtId="0" fontId="7" fillId="10" borderId="8" xfId="0" applyFont="1" applyFill="1" applyBorder="1"/>
    <xf numFmtId="0" fontId="7" fillId="10" borderId="8" xfId="0" applyFont="1" applyFill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0" fillId="3" borderId="5" xfId="0" applyFill="1" applyBorder="1"/>
    <xf numFmtId="0" fontId="0" fillId="3" borderId="10" xfId="0" applyFill="1" applyBorder="1"/>
    <xf numFmtId="0" fontId="0" fillId="3" borderId="6" xfId="0" applyFill="1" applyBorder="1"/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left" wrapText="1"/>
    </xf>
    <xf numFmtId="0" fontId="0" fillId="0" borderId="10" xfId="0" applyBorder="1" applyAlignment="1">
      <alignment horizontal="center"/>
    </xf>
    <xf numFmtId="0" fontId="3" fillId="2" borderId="13" xfId="0" applyFont="1" applyFill="1" applyBorder="1" applyAlignment="1">
      <alignment horizontal="left" wrapText="1"/>
    </xf>
    <xf numFmtId="0" fontId="7" fillId="11" borderId="8" xfId="0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3" borderId="20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wrapText="1"/>
    </xf>
  </cellXfs>
  <cellStyles count="1">
    <cellStyle name="Normal" xfId="0" builtinId="0"/>
  </cellStyles>
  <dxfs count="72"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ill>
        <patternFill patternType="solid"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33CC33"/>
        </patternFill>
      </fill>
    </dxf>
    <dxf>
      <font>
        <b/>
        <i val="0"/>
        <strike val="0"/>
        <color theme="0" tint="-0.24994659260841701"/>
      </font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</dxfs>
  <tableStyles count="0" defaultTableStyle="TableStyleMedium2" defaultPivotStyle="PivotStyleLight16"/>
  <colors>
    <mruColors>
      <color rgb="FF70A8E0"/>
      <color rgb="FFC1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reiner, Emily (GE Vernova)" id="{66D5D2F8-AD5D-4EA3-B07E-21611A814A71}" userId="S::218024219@ge.com::bb5a33c4-121a-4e8e-ae52-64573d531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6-05-27T18:23:49.63" personId="{66D5D2F8-AD5D-4EA3-B07E-21611A814A71}" id="{EB94B3BB-90D6-4617-8E86-F6684DEB9CAD}">
    <text>Leveraging existing FTE's</text>
  </threadedComment>
  <threadedComment ref="C14" dT="2026-05-27T18:24:02.48" personId="{66D5D2F8-AD5D-4EA3-B07E-21611A814A71}" id="{B5058077-5502-4F8F-BE0B-A6746C83BE10}">
    <text>Leveraging existing FTE's</text>
  </threadedComment>
  <threadedComment ref="C15" dT="2026-05-27T18:24:17.91" personId="{66D5D2F8-AD5D-4EA3-B07E-21611A814A71}" id="{6D5E2650-D5C0-46CA-A39A-299840C1F646}">
    <text>Leveraging existing FTE's</text>
  </threadedComment>
  <threadedComment ref="C16" dT="2026-05-27T18:24:28.28" personId="{66D5D2F8-AD5D-4EA3-B07E-21611A814A71}" id="{E2821A2A-F5A4-48BF-9546-B1A360BEC9BE}">
    <text>Leveraging existing FTE's</text>
  </threadedComment>
  <threadedComment ref="C17" dT="2026-05-27T18:25:26.70" personId="{66D5D2F8-AD5D-4EA3-B07E-21611A814A71}" id="{9B0C13AD-907E-4C37-9B10-89BD09CD5733}">
    <text>Leveraging existing FTE's</text>
  </threadedComment>
  <threadedComment ref="C18" dT="2026-05-27T18:25:35.00" personId="{66D5D2F8-AD5D-4EA3-B07E-21611A814A71}" id="{CD546144-CA14-43E8-8BCD-FE33585E93CE}">
    <text>Leveraging existing FTE's</text>
  </threadedComment>
  <threadedComment ref="C64" dT="2026-05-27T18:27:06.14" personId="{66D5D2F8-AD5D-4EA3-B07E-21611A814A71}" id="{95C08536-9504-4C87-A1C9-AC58CBE395A4}">
    <text>Lacking platform; Lacking stakeholder buy-in; Lacking funding</text>
  </threadedComment>
  <threadedComment ref="C65" dT="2026-05-28T16:28:52.26" personId="{66D5D2F8-AD5D-4EA3-B07E-21611A814A71}" id="{82F6B5B1-B277-4B0B-B33C-3EE8546137EC}">
    <text>Business Requirement Gathering ongoing; Assumption validations ongoing; Blocked due to infrastructure</text>
  </threadedComment>
  <threadedComment ref="C66" dT="2026-05-28T16:56:32.50" personId="{66D5D2F8-AD5D-4EA3-B07E-21611A814A71}" id="{46A10BC2-E037-4D47-AE25-35C117D819D7}">
    <text>Gathering business requirements; on hold due to infrastructure</text>
  </threadedComment>
  <threadedComment ref="D95" dT="2026-05-27T16:47:44.44" personId="{66D5D2F8-AD5D-4EA3-B07E-21611A814A71}" id="{C5BD1C98-D25E-42AE-974E-80341A00B4F7}">
    <text>Handed over to Santosh’s team</text>
  </threadedComment>
  <threadedComment ref="D97" dT="2026-05-27T16:55:18.46" personId="{66D5D2F8-AD5D-4EA3-B07E-21611A814A71}" id="{F505DD94-BB4D-4A18-86B4-A4BD0492A94F}">
    <text>Handed off to Santosh’s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5E97-9120-4F6C-9A06-F7C98AE0806E}">
  <dimension ref="A1:Z114"/>
  <sheetViews>
    <sheetView tabSelected="1" topLeftCell="A99" zoomScale="90" zoomScaleNormal="90" zoomScaleSheetLayoutView="100" workbookViewId="0">
      <selection activeCell="B104" sqref="B104"/>
    </sheetView>
  </sheetViews>
  <sheetFormatPr defaultColWidth="8.88671875" defaultRowHeight="15" customHeight="1" x14ac:dyDescent="0.3"/>
  <cols>
    <col min="1" max="1" width="9.44140625" style="134" customWidth="1"/>
    <col min="2" max="2" width="32.33203125" style="21" customWidth="1"/>
    <col min="3" max="3" width="38.33203125" style="36" customWidth="1"/>
    <col min="4" max="4" width="46" style="23" customWidth="1"/>
    <col min="5" max="5" width="25.44140625" style="23" customWidth="1"/>
    <col min="6" max="6" width="12.6640625" style="36" customWidth="1"/>
    <col min="7" max="7" width="11.6640625" style="24" customWidth="1"/>
    <col min="8" max="8" width="14.6640625" style="36" customWidth="1"/>
    <col min="9" max="9" width="8.88671875" style="21" hidden="1" customWidth="1"/>
    <col min="10" max="10" width="11.109375" style="24" bestFit="1" customWidth="1"/>
    <col min="11" max="11" width="11.109375" style="21" customWidth="1"/>
    <col min="12" max="12" width="17.33203125" style="21" customWidth="1"/>
    <col min="13" max="13" width="14" style="21" bestFit="1" customWidth="1"/>
    <col min="14" max="14" width="13.88671875" style="106" customWidth="1"/>
    <col min="15" max="15" width="12.109375" style="35" bestFit="1" customWidth="1"/>
    <col min="16" max="16" width="20.6640625" style="35" customWidth="1"/>
    <col min="17" max="17" width="4.88671875" style="97" customWidth="1"/>
    <col min="18" max="18" width="11.88671875" style="21" bestFit="1" customWidth="1"/>
    <col min="19" max="21" width="29.109375" style="21" customWidth="1"/>
    <col min="22" max="22" width="17" style="21" customWidth="1"/>
    <col min="23" max="23" width="30" style="21" customWidth="1"/>
    <col min="24" max="24" width="11.109375" style="21" customWidth="1"/>
    <col min="25" max="25" width="16" style="21" customWidth="1"/>
    <col min="26" max="26" width="23.5546875" style="21" customWidth="1"/>
    <col min="27" max="16384" width="8.88671875" style="21"/>
  </cols>
  <sheetData>
    <row r="1" spans="1:26" ht="93.75" customHeight="1" x14ac:dyDescent="0.3">
      <c r="A1" s="135" t="s">
        <v>0</v>
      </c>
      <c r="B1" s="136" t="s">
        <v>1</v>
      </c>
      <c r="C1" s="137" t="s">
        <v>2</v>
      </c>
      <c r="D1" s="137" t="s">
        <v>3</v>
      </c>
      <c r="E1" s="138" t="s">
        <v>4</v>
      </c>
      <c r="F1" s="139" t="s">
        <v>5</v>
      </c>
      <c r="G1" s="75" t="s">
        <v>6</v>
      </c>
      <c r="H1" s="139" t="s">
        <v>7</v>
      </c>
      <c r="I1" s="89" t="s">
        <v>8</v>
      </c>
      <c r="J1" s="89" t="s">
        <v>9</v>
      </c>
      <c r="K1" s="141" t="s">
        <v>10</v>
      </c>
      <c r="L1" s="90" t="s">
        <v>11</v>
      </c>
      <c r="M1" s="91" t="s">
        <v>12</v>
      </c>
      <c r="N1" s="91" t="s">
        <v>13</v>
      </c>
      <c r="O1" s="91" t="s">
        <v>14</v>
      </c>
      <c r="P1" s="90" t="s">
        <v>15</v>
      </c>
      <c r="Q1" s="92" t="s">
        <v>16</v>
      </c>
      <c r="R1" s="92" t="s">
        <v>17</v>
      </c>
      <c r="S1" s="93" t="s">
        <v>4</v>
      </c>
      <c r="T1" s="93" t="s">
        <v>18</v>
      </c>
      <c r="U1" s="94" t="s">
        <v>19</v>
      </c>
      <c r="V1" s="94" t="s">
        <v>20</v>
      </c>
      <c r="W1" s="94" t="s">
        <v>21</v>
      </c>
      <c r="X1" s="94" t="s">
        <v>22</v>
      </c>
      <c r="Y1" s="94" t="s">
        <v>23</v>
      </c>
      <c r="Z1" s="94" t="s">
        <v>374</v>
      </c>
    </row>
    <row r="2" spans="1:26" ht="28.8" x14ac:dyDescent="0.3">
      <c r="A2" s="22" t="s">
        <v>24</v>
      </c>
      <c r="B2" s="23" t="s">
        <v>25</v>
      </c>
      <c r="C2" s="142" t="s">
        <v>26</v>
      </c>
      <c r="D2" s="110" t="s">
        <v>27</v>
      </c>
      <c r="E2" s="116" t="s">
        <v>28</v>
      </c>
      <c r="F2" s="140" t="s">
        <v>29</v>
      </c>
      <c r="G2" s="140" t="s">
        <v>30</v>
      </c>
      <c r="H2" s="62" t="s">
        <v>31</v>
      </c>
      <c r="I2" s="26"/>
      <c r="J2" s="26">
        <v>45683</v>
      </c>
      <c r="K2" s="63"/>
      <c r="L2" s="27" t="s">
        <v>32</v>
      </c>
      <c r="M2" s="28" t="s">
        <v>33</v>
      </c>
      <c r="N2" s="103" t="s">
        <v>34</v>
      </c>
      <c r="O2" s="28"/>
      <c r="P2" s="37"/>
      <c r="Q2" s="31" t="s">
        <v>35</v>
      </c>
      <c r="R2" s="31" t="s">
        <v>35</v>
      </c>
      <c r="S2" s="32" t="s">
        <v>28</v>
      </c>
      <c r="T2" s="32" t="s">
        <v>34</v>
      </c>
      <c r="U2" s="33" t="str">
        <f t="shared" ref="U2:U35" si="0">_xlfn.CONCAT(S2:T2)</f>
        <v>Technology Enablement &amp; TransformationAll</v>
      </c>
      <c r="V2" s="32" t="s">
        <v>36</v>
      </c>
      <c r="W2" s="32"/>
      <c r="X2" s="32"/>
      <c r="Y2" s="94"/>
    </row>
    <row r="3" spans="1:26" ht="28.8" x14ac:dyDescent="0.3">
      <c r="A3" s="22" t="s">
        <v>24</v>
      </c>
      <c r="B3" s="23" t="s">
        <v>37</v>
      </c>
      <c r="C3" s="142" t="s">
        <v>38</v>
      </c>
      <c r="D3" s="115" t="s">
        <v>39</v>
      </c>
      <c r="E3" s="116" t="s">
        <v>40</v>
      </c>
      <c r="F3" s="117" t="s">
        <v>29</v>
      </c>
      <c r="G3" s="24" t="s">
        <v>30</v>
      </c>
      <c r="H3" s="25" t="s">
        <v>41</v>
      </c>
      <c r="I3" s="26"/>
      <c r="J3" s="26">
        <v>46111</v>
      </c>
      <c r="K3" s="26"/>
      <c r="L3" s="27" t="s">
        <v>32</v>
      </c>
      <c r="M3" s="28" t="s">
        <v>42</v>
      </c>
      <c r="N3" s="103" t="s">
        <v>43</v>
      </c>
      <c r="P3" s="37" t="s">
        <v>44</v>
      </c>
      <c r="Q3" s="31" t="s">
        <v>45</v>
      </c>
      <c r="R3" s="31" t="s">
        <v>45</v>
      </c>
      <c r="S3" s="32" t="s">
        <v>40</v>
      </c>
      <c r="T3" s="32" t="s">
        <v>46</v>
      </c>
      <c r="U3" s="33" t="str">
        <f>_xlfn.CONCAT(S3:T3)</f>
        <v>Product Tech Solutions &amp; OperationsGrid DT Ops</v>
      </c>
      <c r="V3" s="32" t="s">
        <v>47</v>
      </c>
      <c r="W3" s="32" t="s">
        <v>48</v>
      </c>
      <c r="X3" s="32"/>
      <c r="Y3" s="94"/>
    </row>
    <row r="4" spans="1:26" ht="28.8" x14ac:dyDescent="0.3">
      <c r="A4" s="22" t="s">
        <v>24</v>
      </c>
      <c r="B4" s="23" t="s">
        <v>49</v>
      </c>
      <c r="C4" s="128" t="s">
        <v>50</v>
      </c>
      <c r="D4" s="87" t="s">
        <v>51</v>
      </c>
      <c r="E4" s="33" t="s">
        <v>28</v>
      </c>
      <c r="F4" s="24" t="s">
        <v>29</v>
      </c>
      <c r="G4" s="24" t="s">
        <v>30</v>
      </c>
      <c r="H4" s="25" t="s">
        <v>52</v>
      </c>
      <c r="I4" s="26">
        <v>45689</v>
      </c>
      <c r="J4" s="26">
        <v>46113</v>
      </c>
      <c r="K4" s="26"/>
      <c r="L4" s="27" t="s">
        <v>53</v>
      </c>
      <c r="M4" s="28" t="s">
        <v>34</v>
      </c>
      <c r="N4" s="103" t="s">
        <v>54</v>
      </c>
      <c r="O4" s="28" t="s">
        <v>55</v>
      </c>
      <c r="P4" s="37" t="s">
        <v>56</v>
      </c>
      <c r="Q4" s="31" t="s">
        <v>45</v>
      </c>
      <c r="R4" s="31" t="s">
        <v>48</v>
      </c>
      <c r="S4" s="32" t="s">
        <v>28</v>
      </c>
      <c r="T4" s="32" t="s">
        <v>57</v>
      </c>
      <c r="U4" s="33" t="str">
        <f t="shared" si="0"/>
        <v>Technology Enablement &amp; TransformationData &amp; Analytics</v>
      </c>
      <c r="V4" s="32" t="s">
        <v>36</v>
      </c>
      <c r="W4" s="32" t="s">
        <v>58</v>
      </c>
      <c r="X4" s="32" t="s">
        <v>59</v>
      </c>
      <c r="Y4" s="94"/>
    </row>
    <row r="5" spans="1:26" ht="28.8" x14ac:dyDescent="0.3">
      <c r="A5" s="22" t="s">
        <v>24</v>
      </c>
      <c r="B5" s="23" t="s">
        <v>61</v>
      </c>
      <c r="C5" s="128" t="s">
        <v>62</v>
      </c>
      <c r="D5" s="23" t="s">
        <v>63</v>
      </c>
      <c r="E5" s="33" t="s">
        <v>64</v>
      </c>
      <c r="F5" s="96" t="s">
        <v>29</v>
      </c>
      <c r="G5" s="24" t="s">
        <v>235</v>
      </c>
      <c r="H5" s="25" t="s">
        <v>236</v>
      </c>
      <c r="I5" s="26"/>
      <c r="J5" s="26">
        <v>46113</v>
      </c>
      <c r="K5" s="26"/>
      <c r="L5" s="27" t="s">
        <v>32</v>
      </c>
      <c r="M5" s="28" t="s">
        <v>34</v>
      </c>
      <c r="N5" s="103" t="s">
        <v>66</v>
      </c>
      <c r="O5" s="28"/>
      <c r="P5" s="37" t="s">
        <v>67</v>
      </c>
      <c r="Q5" s="31" t="s">
        <v>35</v>
      </c>
      <c r="R5" s="31" t="s">
        <v>48</v>
      </c>
      <c r="S5" s="32" t="s">
        <v>64</v>
      </c>
      <c r="T5" s="32" t="s">
        <v>64</v>
      </c>
      <c r="U5" s="33" t="str">
        <f>_xlfn.CONCAT(S5:T5)</f>
        <v>Enterprise ApplicationsEnterprise Applications</v>
      </c>
      <c r="V5" s="32" t="s">
        <v>68</v>
      </c>
      <c r="W5" s="32" t="s">
        <v>68</v>
      </c>
      <c r="X5" s="32"/>
      <c r="Y5" s="94"/>
    </row>
    <row r="6" spans="1:26" ht="28.8" x14ac:dyDescent="0.3">
      <c r="A6" s="22" t="s">
        <v>24</v>
      </c>
      <c r="B6" s="23" t="s">
        <v>69</v>
      </c>
      <c r="C6" s="128" t="s">
        <v>70</v>
      </c>
      <c r="D6" s="23" t="s">
        <v>71</v>
      </c>
      <c r="E6" s="33" t="s">
        <v>64</v>
      </c>
      <c r="F6" s="24" t="s">
        <v>29</v>
      </c>
      <c r="G6" s="24" t="s">
        <v>30</v>
      </c>
      <c r="H6" s="25" t="s">
        <v>236</v>
      </c>
      <c r="I6" s="26"/>
      <c r="J6" s="26">
        <v>46173</v>
      </c>
      <c r="K6" s="26"/>
      <c r="L6" s="27" t="s">
        <v>53</v>
      </c>
      <c r="M6" s="28" t="s">
        <v>42</v>
      </c>
      <c r="N6" s="103" t="s">
        <v>73</v>
      </c>
      <c r="O6" s="28" t="s">
        <v>55</v>
      </c>
      <c r="P6" s="37" t="s">
        <v>74</v>
      </c>
      <c r="Q6" s="31" t="s">
        <v>45</v>
      </c>
      <c r="R6" s="31" t="s">
        <v>45</v>
      </c>
      <c r="S6" s="32" t="s">
        <v>64</v>
      </c>
      <c r="T6" s="32" t="s">
        <v>64</v>
      </c>
      <c r="U6" s="33" t="str">
        <f t="shared" si="0"/>
        <v>Enterprise ApplicationsEnterprise Applications</v>
      </c>
      <c r="V6" s="32" t="s">
        <v>75</v>
      </c>
      <c r="W6" s="32" t="s">
        <v>76</v>
      </c>
      <c r="X6" s="32" t="s">
        <v>77</v>
      </c>
      <c r="Y6" s="94"/>
    </row>
    <row r="7" spans="1:26" ht="28.8" x14ac:dyDescent="0.3">
      <c r="A7" s="22" t="s">
        <v>24</v>
      </c>
      <c r="B7" s="23" t="s">
        <v>78</v>
      </c>
      <c r="C7" s="23" t="s">
        <v>79</v>
      </c>
      <c r="D7" s="23" t="s">
        <v>80</v>
      </c>
      <c r="E7" s="33" t="s">
        <v>64</v>
      </c>
      <c r="F7" s="96" t="s">
        <v>29</v>
      </c>
      <c r="G7" s="24" t="s">
        <v>30</v>
      </c>
      <c r="H7" s="25" t="s">
        <v>72</v>
      </c>
      <c r="I7" s="26"/>
      <c r="J7" s="26">
        <v>46174</v>
      </c>
      <c r="K7" s="26"/>
      <c r="L7" s="27" t="s">
        <v>32</v>
      </c>
      <c r="M7" s="28" t="s">
        <v>34</v>
      </c>
      <c r="N7" s="103" t="s">
        <v>34</v>
      </c>
      <c r="O7" s="28" t="s">
        <v>55</v>
      </c>
      <c r="P7" s="37"/>
      <c r="Q7" s="31" t="s">
        <v>45</v>
      </c>
      <c r="R7" s="31" t="s">
        <v>48</v>
      </c>
      <c r="S7" s="32" t="s">
        <v>64</v>
      </c>
      <c r="T7" s="32" t="s">
        <v>64</v>
      </c>
      <c r="U7" s="33" t="str">
        <f t="shared" ref="U7:U13" si="1">_xlfn.CONCAT(S7:T7)</f>
        <v>Enterprise ApplicationsEnterprise Applications</v>
      </c>
      <c r="V7" s="32" t="s">
        <v>68</v>
      </c>
      <c r="W7" s="32" t="s">
        <v>60</v>
      </c>
      <c r="X7" s="32" t="s">
        <v>81</v>
      </c>
      <c r="Y7" s="94"/>
    </row>
    <row r="8" spans="1:26" ht="28.8" x14ac:dyDescent="0.3">
      <c r="A8" s="22" t="s">
        <v>24</v>
      </c>
      <c r="B8" s="23" t="s">
        <v>78</v>
      </c>
      <c r="C8" s="23" t="s">
        <v>82</v>
      </c>
      <c r="D8" s="23" t="s">
        <v>83</v>
      </c>
      <c r="E8" s="33" t="s">
        <v>64</v>
      </c>
      <c r="F8" s="96" t="s">
        <v>29</v>
      </c>
      <c r="G8" s="24" t="s">
        <v>235</v>
      </c>
      <c r="H8" s="25" t="s">
        <v>236</v>
      </c>
      <c r="I8" s="26"/>
      <c r="J8" s="26">
        <v>46174</v>
      </c>
      <c r="K8" s="26"/>
      <c r="L8" s="27" t="s">
        <v>32</v>
      </c>
      <c r="M8" s="28" t="s">
        <v>34</v>
      </c>
      <c r="N8" s="103" t="s">
        <v>34</v>
      </c>
      <c r="O8" s="28" t="s">
        <v>55</v>
      </c>
      <c r="P8" s="37" t="s">
        <v>84</v>
      </c>
      <c r="Q8" s="31" t="s">
        <v>45</v>
      </c>
      <c r="R8" s="31" t="s">
        <v>48</v>
      </c>
      <c r="S8" s="32" t="s">
        <v>64</v>
      </c>
      <c r="T8" s="32" t="s">
        <v>64</v>
      </c>
      <c r="U8" s="33" t="str">
        <f t="shared" si="1"/>
        <v>Enterprise ApplicationsEnterprise Applications</v>
      </c>
      <c r="V8" s="32" t="s">
        <v>85</v>
      </c>
      <c r="W8" s="32" t="s">
        <v>60</v>
      </c>
      <c r="X8" s="32" t="s">
        <v>81</v>
      </c>
      <c r="Y8" s="94"/>
    </row>
    <row r="9" spans="1:26" ht="28.8" x14ac:dyDescent="0.3">
      <c r="A9" s="22" t="s">
        <v>24</v>
      </c>
      <c r="B9" s="23" t="s">
        <v>78</v>
      </c>
      <c r="C9" s="128" t="s">
        <v>86</v>
      </c>
      <c r="D9" s="23" t="s">
        <v>87</v>
      </c>
      <c r="E9" s="33" t="s">
        <v>88</v>
      </c>
      <c r="F9" s="24" t="s">
        <v>89</v>
      </c>
      <c r="G9" s="24" t="s">
        <v>30</v>
      </c>
      <c r="H9" s="25" t="s">
        <v>65</v>
      </c>
      <c r="I9" s="26"/>
      <c r="J9" s="26">
        <v>46143</v>
      </c>
      <c r="K9" s="26">
        <v>46228</v>
      </c>
      <c r="L9" s="27" t="s">
        <v>32</v>
      </c>
      <c r="M9" s="28" t="s">
        <v>42</v>
      </c>
      <c r="N9" s="103" t="s">
        <v>66</v>
      </c>
      <c r="O9" s="28"/>
      <c r="P9" s="37" t="s">
        <v>90</v>
      </c>
      <c r="Q9" s="31" t="s">
        <v>45</v>
      </c>
      <c r="R9" s="31" t="s">
        <v>48</v>
      </c>
      <c r="S9" s="32" t="s">
        <v>91</v>
      </c>
      <c r="T9" s="32" t="s">
        <v>91</v>
      </c>
      <c r="U9" s="33" t="str">
        <f t="shared" si="1"/>
        <v>Digitization ProgramsDigitization Programs</v>
      </c>
      <c r="V9" s="32" t="s">
        <v>92</v>
      </c>
      <c r="W9" s="32" t="s">
        <v>93</v>
      </c>
      <c r="X9" s="32"/>
      <c r="Y9" s="94"/>
    </row>
    <row r="10" spans="1:26" ht="28.8" x14ac:dyDescent="0.3">
      <c r="A10" s="22" t="s">
        <v>24</v>
      </c>
      <c r="B10" s="23" t="s">
        <v>94</v>
      </c>
      <c r="C10" s="23" t="s">
        <v>95</v>
      </c>
      <c r="D10" s="23" t="s">
        <v>95</v>
      </c>
      <c r="E10" s="33" t="s">
        <v>64</v>
      </c>
      <c r="F10" s="96" t="s">
        <v>29</v>
      </c>
      <c r="G10" s="24" t="s">
        <v>30</v>
      </c>
      <c r="H10" s="25" t="s">
        <v>72</v>
      </c>
      <c r="I10" s="26"/>
      <c r="J10" s="26">
        <v>46204</v>
      </c>
      <c r="K10" s="26"/>
      <c r="L10" s="27" t="s">
        <v>32</v>
      </c>
      <c r="M10" s="28" t="s">
        <v>34</v>
      </c>
      <c r="N10" s="103" t="s">
        <v>34</v>
      </c>
      <c r="O10" s="28" t="s">
        <v>55</v>
      </c>
      <c r="P10" s="37" t="s">
        <v>96</v>
      </c>
      <c r="Q10" s="31" t="s">
        <v>45</v>
      </c>
      <c r="R10" s="31" t="s">
        <v>48</v>
      </c>
      <c r="S10" s="32" t="s">
        <v>64</v>
      </c>
      <c r="T10" s="32" t="s">
        <v>64</v>
      </c>
      <c r="U10" s="33" t="str">
        <f t="shared" si="1"/>
        <v>Enterprise ApplicationsEnterprise Applications</v>
      </c>
      <c r="V10" s="32" t="s">
        <v>97</v>
      </c>
      <c r="W10" s="32" t="s">
        <v>60</v>
      </c>
      <c r="X10" s="32" t="s">
        <v>81</v>
      </c>
      <c r="Y10" s="94"/>
    </row>
    <row r="11" spans="1:26" ht="28.8" x14ac:dyDescent="0.3">
      <c r="A11" s="22" t="s">
        <v>24</v>
      </c>
      <c r="B11" s="23" t="s">
        <v>78</v>
      </c>
      <c r="C11" s="128" t="s">
        <v>98</v>
      </c>
      <c r="D11" s="23" t="s">
        <v>99</v>
      </c>
      <c r="E11" s="33" t="s">
        <v>64</v>
      </c>
      <c r="F11" s="96" t="s">
        <v>29</v>
      </c>
      <c r="G11" s="24" t="s">
        <v>30</v>
      </c>
      <c r="H11" s="25" t="s">
        <v>72</v>
      </c>
      <c r="I11" s="26"/>
      <c r="J11" s="26">
        <v>46204</v>
      </c>
      <c r="K11" s="26"/>
      <c r="L11" s="27" t="s">
        <v>32</v>
      </c>
      <c r="M11" s="28" t="s">
        <v>34</v>
      </c>
      <c r="N11" s="103" t="s">
        <v>34</v>
      </c>
      <c r="O11" s="28" t="s">
        <v>55</v>
      </c>
      <c r="P11" s="37" t="s">
        <v>100</v>
      </c>
      <c r="Q11" s="31" t="s">
        <v>45</v>
      </c>
      <c r="R11" s="31" t="s">
        <v>48</v>
      </c>
      <c r="S11" s="32" t="s">
        <v>64</v>
      </c>
      <c r="T11" s="32" t="s">
        <v>64</v>
      </c>
      <c r="U11" s="33" t="str">
        <f t="shared" si="1"/>
        <v>Enterprise ApplicationsEnterprise Applications</v>
      </c>
      <c r="V11" s="32" t="s">
        <v>101</v>
      </c>
      <c r="W11" s="32" t="s">
        <v>100</v>
      </c>
      <c r="X11" s="32"/>
      <c r="Y11" s="94"/>
    </row>
    <row r="12" spans="1:26" ht="28.8" x14ac:dyDescent="0.3">
      <c r="A12" s="129" t="s">
        <v>24</v>
      </c>
      <c r="B12" s="23" t="s">
        <v>102</v>
      </c>
      <c r="C12" s="23" t="s">
        <v>103</v>
      </c>
      <c r="D12" s="87" t="s">
        <v>51</v>
      </c>
      <c r="E12" s="33" t="s">
        <v>28</v>
      </c>
      <c r="F12" s="96" t="s">
        <v>29</v>
      </c>
      <c r="G12" s="24" t="s">
        <v>30</v>
      </c>
      <c r="H12" s="25" t="s">
        <v>72</v>
      </c>
      <c r="I12" s="26">
        <v>45992</v>
      </c>
      <c r="J12" s="26">
        <v>46204</v>
      </c>
      <c r="K12" s="26"/>
      <c r="L12" s="27" t="s">
        <v>53</v>
      </c>
      <c r="M12" s="28" t="s">
        <v>42</v>
      </c>
      <c r="N12" s="103" t="s">
        <v>54</v>
      </c>
      <c r="O12" s="28" t="s">
        <v>104</v>
      </c>
      <c r="P12" s="37" t="s">
        <v>105</v>
      </c>
      <c r="Q12" s="31" t="s">
        <v>45</v>
      </c>
      <c r="R12" s="31" t="s">
        <v>48</v>
      </c>
      <c r="S12" s="32" t="s">
        <v>28</v>
      </c>
      <c r="T12" s="32" t="s">
        <v>57</v>
      </c>
      <c r="U12" s="33" t="str">
        <f t="shared" si="1"/>
        <v>Technology Enablement &amp; TransformationData &amp; Analytics</v>
      </c>
      <c r="V12" s="32" t="s">
        <v>36</v>
      </c>
      <c r="W12" s="32" t="s">
        <v>36</v>
      </c>
      <c r="X12" s="32" t="s">
        <v>59</v>
      </c>
      <c r="Y12" s="94"/>
    </row>
    <row r="13" spans="1:26" ht="43.2" x14ac:dyDescent="0.3">
      <c r="A13" s="22" t="s">
        <v>24</v>
      </c>
      <c r="B13" s="23" t="s">
        <v>106</v>
      </c>
      <c r="C13" s="23" t="s">
        <v>107</v>
      </c>
      <c r="D13" s="23" t="s">
        <v>108</v>
      </c>
      <c r="E13" s="33" t="s">
        <v>88</v>
      </c>
      <c r="F13" s="99" t="s">
        <v>29</v>
      </c>
      <c r="G13" s="99" t="s">
        <v>30</v>
      </c>
      <c r="H13" s="100" t="s">
        <v>31</v>
      </c>
      <c r="I13" s="101"/>
      <c r="J13" s="101">
        <v>46229</v>
      </c>
      <c r="K13" s="101"/>
      <c r="L13" s="102" t="s">
        <v>109</v>
      </c>
      <c r="M13" s="103" t="s">
        <v>42</v>
      </c>
      <c r="N13" s="103" t="s">
        <v>66</v>
      </c>
      <c r="O13" s="103"/>
      <c r="P13" s="37" t="s">
        <v>110</v>
      </c>
      <c r="Q13" s="104" t="s">
        <v>45</v>
      </c>
      <c r="R13" s="103"/>
      <c r="S13" s="33" t="s">
        <v>57</v>
      </c>
      <c r="T13" s="33"/>
      <c r="U13" s="33" t="str">
        <f t="shared" si="1"/>
        <v>Data &amp; Analytics</v>
      </c>
      <c r="V13" s="33" t="s">
        <v>111</v>
      </c>
      <c r="W13" s="33"/>
      <c r="X13" s="33" t="s">
        <v>59</v>
      </c>
      <c r="Y13" s="94"/>
    </row>
    <row r="14" spans="1:26" customFormat="1" ht="14.4" x14ac:dyDescent="0.3">
      <c r="A14" s="22" t="s">
        <v>24</v>
      </c>
      <c r="B14" s="23" t="s">
        <v>106</v>
      </c>
      <c r="C14" s="110" t="s">
        <v>112</v>
      </c>
      <c r="D14" s="23" t="s">
        <v>108</v>
      </c>
      <c r="E14" s="33" t="s">
        <v>88</v>
      </c>
      <c r="F14" s="99" t="s">
        <v>29</v>
      </c>
      <c r="G14" s="99" t="s">
        <v>30</v>
      </c>
      <c r="H14" s="100" t="s">
        <v>31</v>
      </c>
      <c r="I14" s="122"/>
      <c r="J14" s="101">
        <v>46229</v>
      </c>
      <c r="K14" s="122"/>
      <c r="L14" s="102" t="s">
        <v>109</v>
      </c>
      <c r="M14" s="103" t="s">
        <v>42</v>
      </c>
      <c r="N14" s="103" t="s">
        <v>66</v>
      </c>
      <c r="O14" s="103"/>
      <c r="P14" s="37" t="s">
        <v>110</v>
      </c>
      <c r="Q14" s="125" t="s">
        <v>45</v>
      </c>
      <c r="R14" s="124"/>
      <c r="S14" s="116"/>
      <c r="T14" s="116"/>
      <c r="U14" s="126"/>
      <c r="V14" s="116" t="s">
        <v>113</v>
      </c>
      <c r="W14" s="116"/>
      <c r="X14" s="116" t="s">
        <v>114</v>
      </c>
      <c r="Y14" s="94"/>
    </row>
    <row r="15" spans="1:26" customFormat="1" ht="14.4" x14ac:dyDescent="0.3">
      <c r="A15" s="22" t="s">
        <v>24</v>
      </c>
      <c r="B15" s="23" t="s">
        <v>106</v>
      </c>
      <c r="C15" s="110" t="s">
        <v>115</v>
      </c>
      <c r="D15" s="23" t="s">
        <v>108</v>
      </c>
      <c r="E15" s="33" t="s">
        <v>88</v>
      </c>
      <c r="F15" s="99" t="s">
        <v>29</v>
      </c>
      <c r="G15" s="99" t="s">
        <v>30</v>
      </c>
      <c r="H15" s="100" t="s">
        <v>31</v>
      </c>
      <c r="I15" s="122"/>
      <c r="J15" s="101">
        <v>46229</v>
      </c>
      <c r="K15" s="122"/>
      <c r="L15" s="102" t="s">
        <v>109</v>
      </c>
      <c r="M15" s="103" t="s">
        <v>42</v>
      </c>
      <c r="N15" s="103" t="s">
        <v>66</v>
      </c>
      <c r="O15" s="103"/>
      <c r="P15" s="37" t="s">
        <v>110</v>
      </c>
      <c r="Q15" s="125" t="s">
        <v>45</v>
      </c>
      <c r="R15" s="124"/>
      <c r="S15" s="116"/>
      <c r="T15" s="116"/>
      <c r="U15" s="126"/>
      <c r="V15" s="116" t="s">
        <v>113</v>
      </c>
      <c r="W15" s="116"/>
      <c r="X15" s="116" t="s">
        <v>81</v>
      </c>
      <c r="Y15" s="94"/>
    </row>
    <row r="16" spans="1:26" customFormat="1" ht="14.4" x14ac:dyDescent="0.3">
      <c r="A16" s="22" t="s">
        <v>24</v>
      </c>
      <c r="B16" s="23" t="s">
        <v>106</v>
      </c>
      <c r="C16" s="110" t="s">
        <v>116</v>
      </c>
      <c r="D16" s="23" t="s">
        <v>108</v>
      </c>
      <c r="E16" s="33" t="s">
        <v>88</v>
      </c>
      <c r="F16" s="99" t="s">
        <v>29</v>
      </c>
      <c r="G16" s="99" t="s">
        <v>30</v>
      </c>
      <c r="H16" s="100" t="s">
        <v>31</v>
      </c>
      <c r="I16" s="122"/>
      <c r="J16" s="101">
        <v>46229</v>
      </c>
      <c r="K16" s="122"/>
      <c r="L16" s="102" t="s">
        <v>109</v>
      </c>
      <c r="M16" s="103" t="s">
        <v>42</v>
      </c>
      <c r="N16" s="103" t="s">
        <v>66</v>
      </c>
      <c r="O16" s="103"/>
      <c r="P16" s="37" t="s">
        <v>110</v>
      </c>
      <c r="Q16" s="125" t="s">
        <v>45</v>
      </c>
      <c r="R16" s="124"/>
      <c r="S16" s="116"/>
      <c r="T16" s="116"/>
      <c r="U16" s="126"/>
      <c r="V16" s="116" t="s">
        <v>113</v>
      </c>
      <c r="W16" s="116"/>
      <c r="X16" s="116" t="s">
        <v>81</v>
      </c>
      <c r="Y16" s="94"/>
    </row>
    <row r="17" spans="1:25" customFormat="1" ht="14.4" x14ac:dyDescent="0.3">
      <c r="A17" s="22" t="s">
        <v>24</v>
      </c>
      <c r="B17" s="23" t="s">
        <v>106</v>
      </c>
      <c r="C17" s="110" t="s">
        <v>117</v>
      </c>
      <c r="D17" s="23" t="s">
        <v>108</v>
      </c>
      <c r="E17" s="33" t="s">
        <v>88</v>
      </c>
      <c r="F17" s="99" t="s">
        <v>29</v>
      </c>
      <c r="G17" s="99" t="s">
        <v>30</v>
      </c>
      <c r="H17" s="100" t="s">
        <v>31</v>
      </c>
      <c r="I17" s="122"/>
      <c r="J17" s="101">
        <v>46229</v>
      </c>
      <c r="K17" s="122"/>
      <c r="L17" s="102" t="s">
        <v>109</v>
      </c>
      <c r="M17" s="103" t="s">
        <v>42</v>
      </c>
      <c r="N17" s="103" t="s">
        <v>66</v>
      </c>
      <c r="O17" s="103"/>
      <c r="P17" s="37" t="s">
        <v>110</v>
      </c>
      <c r="Q17" s="125" t="s">
        <v>45</v>
      </c>
      <c r="R17" s="124"/>
      <c r="S17" s="116"/>
      <c r="T17" s="116"/>
      <c r="U17" s="126"/>
      <c r="V17" s="116" t="s">
        <v>113</v>
      </c>
      <c r="W17" s="116"/>
      <c r="X17" s="116" t="s">
        <v>81</v>
      </c>
      <c r="Y17" s="94"/>
    </row>
    <row r="18" spans="1:25" customFormat="1" ht="14.4" x14ac:dyDescent="0.3">
      <c r="A18" s="22" t="s">
        <v>24</v>
      </c>
      <c r="B18" s="23" t="s">
        <v>106</v>
      </c>
      <c r="C18" s="110" t="s">
        <v>118</v>
      </c>
      <c r="D18" s="23" t="s">
        <v>108</v>
      </c>
      <c r="E18" s="33" t="s">
        <v>88</v>
      </c>
      <c r="F18" s="99" t="s">
        <v>29</v>
      </c>
      <c r="G18" s="99" t="s">
        <v>30</v>
      </c>
      <c r="H18" s="100" t="s">
        <v>31</v>
      </c>
      <c r="I18" s="122"/>
      <c r="J18" s="101">
        <v>46229</v>
      </c>
      <c r="K18" s="122"/>
      <c r="L18" s="102" t="s">
        <v>109</v>
      </c>
      <c r="M18" s="103" t="s">
        <v>42</v>
      </c>
      <c r="N18" s="103" t="s">
        <v>66</v>
      </c>
      <c r="O18" s="103"/>
      <c r="P18" s="37" t="s">
        <v>110</v>
      </c>
      <c r="Q18" s="125" t="s">
        <v>45</v>
      </c>
      <c r="R18" s="124"/>
      <c r="S18" s="116"/>
      <c r="T18" s="116"/>
      <c r="U18" s="126"/>
      <c r="V18" s="116" t="s">
        <v>113</v>
      </c>
      <c r="W18" s="116"/>
      <c r="X18" s="116" t="s">
        <v>114</v>
      </c>
      <c r="Y18" s="94"/>
    </row>
    <row r="19" spans="1:25" ht="28.8" x14ac:dyDescent="0.3">
      <c r="A19" s="22"/>
      <c r="B19" s="23" t="s">
        <v>78</v>
      </c>
      <c r="C19" s="23" t="s">
        <v>119</v>
      </c>
      <c r="D19" s="23" t="s">
        <v>120</v>
      </c>
      <c r="E19" s="33" t="s">
        <v>64</v>
      </c>
      <c r="F19" s="96" t="s">
        <v>29</v>
      </c>
      <c r="G19" s="24" t="s">
        <v>30</v>
      </c>
      <c r="H19" s="25" t="s">
        <v>31</v>
      </c>
      <c r="I19" s="26"/>
      <c r="J19" s="26">
        <v>46235</v>
      </c>
      <c r="K19" s="26"/>
      <c r="L19" s="27" t="s">
        <v>32</v>
      </c>
      <c r="M19" s="28" t="s">
        <v>34</v>
      </c>
      <c r="N19" s="103" t="s">
        <v>34</v>
      </c>
      <c r="O19" s="28" t="s">
        <v>55</v>
      </c>
      <c r="P19" s="37"/>
      <c r="Q19" s="31" t="s">
        <v>45</v>
      </c>
      <c r="R19" s="31" t="s">
        <v>48</v>
      </c>
      <c r="S19" s="32" t="s">
        <v>64</v>
      </c>
      <c r="T19" s="32" t="s">
        <v>64</v>
      </c>
      <c r="U19" s="33" t="str">
        <f>_xlfn.CONCAT(S19:T19)</f>
        <v>Enterprise ApplicationsEnterprise Applications</v>
      </c>
      <c r="V19" s="32" t="s">
        <v>68</v>
      </c>
      <c r="W19" s="32"/>
      <c r="X19" s="32" t="s">
        <v>59</v>
      </c>
      <c r="Y19" s="94"/>
    </row>
    <row r="20" spans="1:25" ht="28.8" x14ac:dyDescent="0.3">
      <c r="A20" s="22" t="s">
        <v>24</v>
      </c>
      <c r="B20" s="23" t="s">
        <v>37</v>
      </c>
      <c r="C20" s="128" t="s">
        <v>121</v>
      </c>
      <c r="D20" s="87" t="s">
        <v>39</v>
      </c>
      <c r="E20" s="33" t="s">
        <v>40</v>
      </c>
      <c r="F20" s="96" t="s">
        <v>122</v>
      </c>
      <c r="G20" s="24" t="s">
        <v>30</v>
      </c>
      <c r="H20" s="25" t="s">
        <v>72</v>
      </c>
      <c r="I20" s="26"/>
      <c r="J20" s="26">
        <v>46111</v>
      </c>
      <c r="K20" s="26">
        <v>46260</v>
      </c>
      <c r="L20" s="27" t="s">
        <v>32</v>
      </c>
      <c r="M20" s="28" t="s">
        <v>42</v>
      </c>
      <c r="N20" s="103" t="s">
        <v>43</v>
      </c>
      <c r="P20" s="37" t="s">
        <v>44</v>
      </c>
      <c r="Q20" s="31" t="s">
        <v>45</v>
      </c>
      <c r="R20" s="31" t="s">
        <v>45</v>
      </c>
      <c r="S20" s="32" t="s">
        <v>40</v>
      </c>
      <c r="T20" s="32" t="s">
        <v>46</v>
      </c>
      <c r="U20" s="33" t="str">
        <f>_xlfn.CONCAT(S20:T20)</f>
        <v>Product Tech Solutions &amp; OperationsGrid DT Ops</v>
      </c>
      <c r="V20" s="32" t="s">
        <v>47</v>
      </c>
      <c r="W20" s="32" t="s">
        <v>48</v>
      </c>
      <c r="X20" s="32"/>
      <c r="Y20" s="94"/>
    </row>
    <row r="21" spans="1:25" ht="28.8" x14ac:dyDescent="0.3">
      <c r="A21" s="22" t="s">
        <v>24</v>
      </c>
      <c r="B21" s="23" t="s">
        <v>78</v>
      </c>
      <c r="C21" s="128" t="s">
        <v>123</v>
      </c>
      <c r="D21" s="23" t="s">
        <v>124</v>
      </c>
      <c r="E21" s="33" t="s">
        <v>88</v>
      </c>
      <c r="F21" s="24" t="s">
        <v>89</v>
      </c>
      <c r="G21" s="24" t="s">
        <v>30</v>
      </c>
      <c r="H21" s="25" t="s">
        <v>52</v>
      </c>
      <c r="I21" s="26"/>
      <c r="J21" s="26">
        <v>46143</v>
      </c>
      <c r="K21" s="26">
        <v>46291</v>
      </c>
      <c r="L21" s="27" t="s">
        <v>32</v>
      </c>
      <c r="M21" s="28" t="s">
        <v>34</v>
      </c>
      <c r="N21" s="103" t="s">
        <v>66</v>
      </c>
      <c r="O21" s="28"/>
      <c r="P21" s="37" t="s">
        <v>125</v>
      </c>
      <c r="Q21" s="31" t="s">
        <v>35</v>
      </c>
      <c r="R21" s="31" t="s">
        <v>48</v>
      </c>
      <c r="S21" s="32" t="s">
        <v>91</v>
      </c>
      <c r="T21" s="32" t="s">
        <v>91</v>
      </c>
      <c r="U21" s="33" t="str">
        <f>_xlfn.CONCAT(S21:T21)</f>
        <v>Digitization ProgramsDigitization Programs</v>
      </c>
      <c r="V21" s="32" t="s">
        <v>92</v>
      </c>
      <c r="W21" s="32" t="s">
        <v>125</v>
      </c>
      <c r="X21" s="32"/>
      <c r="Y21" s="94"/>
    </row>
    <row r="22" spans="1:25" ht="28.5" customHeight="1" x14ac:dyDescent="0.3">
      <c r="B22" s="23" t="s">
        <v>126</v>
      </c>
      <c r="C22" s="23" t="s">
        <v>127</v>
      </c>
      <c r="D22" s="23" t="s">
        <v>371</v>
      </c>
      <c r="E22" s="33" t="s">
        <v>88</v>
      </c>
      <c r="F22" s="24" t="s">
        <v>29</v>
      </c>
      <c r="G22" s="24" t="s">
        <v>30</v>
      </c>
      <c r="H22" s="24" t="s">
        <v>72</v>
      </c>
      <c r="J22" s="26">
        <v>46321</v>
      </c>
      <c r="K22" s="26"/>
      <c r="L22" s="27" t="s">
        <v>32</v>
      </c>
      <c r="M22" s="27"/>
      <c r="N22" s="102" t="s">
        <v>34</v>
      </c>
      <c r="O22" s="27"/>
      <c r="P22" s="154" t="s">
        <v>110</v>
      </c>
      <c r="Q22" s="27" t="s">
        <v>45</v>
      </c>
      <c r="R22" s="27" t="s">
        <v>45</v>
      </c>
      <c r="V22" s="33" t="s">
        <v>113</v>
      </c>
      <c r="W22" s="33"/>
      <c r="X22" s="33"/>
      <c r="Y22" s="94"/>
    </row>
    <row r="23" spans="1:25" ht="28.8" x14ac:dyDescent="0.3">
      <c r="A23" s="22"/>
      <c r="B23" s="23" t="s">
        <v>69</v>
      </c>
      <c r="C23" s="128" t="s">
        <v>128</v>
      </c>
      <c r="D23" s="23" t="s">
        <v>129</v>
      </c>
      <c r="E23" s="33" t="s">
        <v>64</v>
      </c>
      <c r="F23" s="24" t="s">
        <v>29</v>
      </c>
      <c r="G23" s="24" t="s">
        <v>30</v>
      </c>
      <c r="H23" s="25" t="s">
        <v>31</v>
      </c>
      <c r="I23" s="26"/>
      <c r="J23" s="26">
        <v>46387</v>
      </c>
      <c r="K23" s="26"/>
      <c r="L23" s="27" t="s">
        <v>53</v>
      </c>
      <c r="M23" s="28" t="s">
        <v>42</v>
      </c>
      <c r="N23" s="103" t="s">
        <v>73</v>
      </c>
      <c r="O23" s="28" t="s">
        <v>55</v>
      </c>
      <c r="P23" s="37" t="s">
        <v>74</v>
      </c>
      <c r="Q23" s="31" t="s">
        <v>45</v>
      </c>
      <c r="R23" s="31" t="s">
        <v>45</v>
      </c>
      <c r="S23" s="32" t="s">
        <v>64</v>
      </c>
      <c r="T23" s="32" t="s">
        <v>64</v>
      </c>
      <c r="U23" s="33" t="str">
        <f t="shared" si="0"/>
        <v>Enterprise ApplicationsEnterprise Applications</v>
      </c>
      <c r="V23" s="32" t="s">
        <v>130</v>
      </c>
      <c r="W23" s="32" t="s">
        <v>76</v>
      </c>
      <c r="X23" s="32" t="s">
        <v>77</v>
      </c>
      <c r="Y23" s="94"/>
    </row>
    <row r="24" spans="1:25" ht="28.8" x14ac:dyDescent="0.3">
      <c r="A24" s="22" t="s">
        <v>45</v>
      </c>
      <c r="B24" s="23" t="s">
        <v>78</v>
      </c>
      <c r="C24" s="128" t="s">
        <v>131</v>
      </c>
      <c r="D24" s="87" t="s">
        <v>132</v>
      </c>
      <c r="E24" s="33" t="s">
        <v>64</v>
      </c>
      <c r="F24" s="24" t="s">
        <v>89</v>
      </c>
      <c r="G24" s="24" t="s">
        <v>30</v>
      </c>
      <c r="H24" s="25" t="s">
        <v>72</v>
      </c>
      <c r="I24" s="26"/>
      <c r="J24" s="26">
        <v>46357</v>
      </c>
      <c r="K24" s="26"/>
      <c r="L24" s="27" t="s">
        <v>32</v>
      </c>
      <c r="M24" s="28" t="s">
        <v>34</v>
      </c>
      <c r="N24" s="103" t="s">
        <v>34</v>
      </c>
      <c r="O24" s="28"/>
      <c r="P24" s="37" t="s">
        <v>84</v>
      </c>
      <c r="Q24" s="31" t="s">
        <v>35</v>
      </c>
      <c r="R24" s="31" t="s">
        <v>48</v>
      </c>
      <c r="S24" s="32" t="s">
        <v>64</v>
      </c>
      <c r="T24" s="32" t="s">
        <v>64</v>
      </c>
      <c r="U24" s="33" t="str">
        <f>_xlfn.CONCAT(S24:T24)</f>
        <v>Enterprise ApplicationsEnterprise Applications</v>
      </c>
      <c r="V24" s="32" t="s">
        <v>68</v>
      </c>
      <c r="W24" s="32" t="s">
        <v>84</v>
      </c>
      <c r="X24" s="32"/>
      <c r="Y24" s="94"/>
    </row>
    <row r="25" spans="1:25" ht="43.2" x14ac:dyDescent="0.3">
      <c r="A25" s="22" t="s">
        <v>24</v>
      </c>
      <c r="B25" s="23" t="s">
        <v>133</v>
      </c>
      <c r="C25" s="23" t="s">
        <v>134</v>
      </c>
      <c r="D25" s="87" t="s">
        <v>135</v>
      </c>
      <c r="E25" s="33" t="s">
        <v>64</v>
      </c>
      <c r="F25" s="96" t="s">
        <v>29</v>
      </c>
      <c r="G25" s="24" t="s">
        <v>30</v>
      </c>
      <c r="H25" s="25" t="s">
        <v>72</v>
      </c>
      <c r="I25" s="26">
        <v>45931</v>
      </c>
      <c r="J25" s="26">
        <v>46569</v>
      </c>
      <c r="K25" s="26"/>
      <c r="L25" s="27" t="s">
        <v>109</v>
      </c>
      <c r="M25" s="28" t="s">
        <v>42</v>
      </c>
      <c r="N25" s="103" t="s">
        <v>136</v>
      </c>
      <c r="O25" s="28" t="s">
        <v>55</v>
      </c>
      <c r="P25" s="37" t="s">
        <v>96</v>
      </c>
      <c r="Q25" s="31" t="s">
        <v>48</v>
      </c>
      <c r="R25" s="31" t="s">
        <v>45</v>
      </c>
      <c r="S25" s="32" t="s">
        <v>64</v>
      </c>
      <c r="T25" s="32" t="s">
        <v>64</v>
      </c>
      <c r="U25" s="33" t="str">
        <f>_xlfn.CONCAT(S25:T25)</f>
        <v>Enterprise ApplicationsEnterprise Applications</v>
      </c>
      <c r="V25" s="32" t="s">
        <v>130</v>
      </c>
      <c r="W25" s="32" t="s">
        <v>137</v>
      </c>
      <c r="X25" s="32" t="s">
        <v>138</v>
      </c>
      <c r="Y25" s="94" t="s">
        <v>139</v>
      </c>
    </row>
    <row r="26" spans="1:25" ht="15" customHeight="1" x14ac:dyDescent="0.3">
      <c r="A26" s="175" t="s">
        <v>24</v>
      </c>
      <c r="B26" s="110" t="s">
        <v>140</v>
      </c>
      <c r="C26" s="110" t="s">
        <v>141</v>
      </c>
      <c r="D26" s="110" t="s">
        <v>142</v>
      </c>
      <c r="E26" s="33" t="s">
        <v>88</v>
      </c>
      <c r="F26" s="24" t="s">
        <v>29</v>
      </c>
      <c r="G26" s="24" t="s">
        <v>30</v>
      </c>
      <c r="H26" s="24" t="s">
        <v>72</v>
      </c>
      <c r="J26" s="122">
        <v>46382</v>
      </c>
      <c r="K26" s="122"/>
      <c r="L26" s="123" t="s">
        <v>32</v>
      </c>
      <c r="M26" s="123"/>
      <c r="N26" s="123" t="s">
        <v>34</v>
      </c>
      <c r="O26" s="123"/>
      <c r="P26" s="176" t="s">
        <v>67</v>
      </c>
      <c r="Q26" s="123" t="s">
        <v>45</v>
      </c>
      <c r="R26" s="123"/>
      <c r="S26" s="123"/>
      <c r="T26" s="123"/>
      <c r="U26" s="123"/>
      <c r="V26" s="32" t="s">
        <v>113</v>
      </c>
      <c r="W26" s="32" t="s">
        <v>143</v>
      </c>
      <c r="X26" s="32" t="s">
        <v>114</v>
      </c>
      <c r="Y26" s="94"/>
    </row>
    <row r="27" spans="1:25" ht="15" customHeight="1" x14ac:dyDescent="0.3">
      <c r="A27" s="175" t="s">
        <v>24</v>
      </c>
      <c r="B27" s="23" t="s">
        <v>144</v>
      </c>
      <c r="C27" s="23" t="s">
        <v>145</v>
      </c>
      <c r="D27" s="23" t="s">
        <v>146</v>
      </c>
      <c r="E27" s="33" t="s">
        <v>88</v>
      </c>
      <c r="F27" s="24" t="s">
        <v>29</v>
      </c>
      <c r="G27" s="24" t="s">
        <v>30</v>
      </c>
      <c r="H27" s="24" t="s">
        <v>72</v>
      </c>
      <c r="J27" s="26">
        <v>46382</v>
      </c>
      <c r="K27" s="26"/>
      <c r="L27" s="27" t="s">
        <v>109</v>
      </c>
      <c r="M27" s="27"/>
      <c r="N27" s="102" t="s">
        <v>34</v>
      </c>
      <c r="O27" s="27"/>
      <c r="P27" s="154" t="s">
        <v>67</v>
      </c>
      <c r="Q27" s="27" t="s">
        <v>45</v>
      </c>
      <c r="R27" s="27"/>
      <c r="V27" s="33" t="s">
        <v>113</v>
      </c>
      <c r="W27" s="33" t="s">
        <v>143</v>
      </c>
      <c r="X27" s="33" t="s">
        <v>81</v>
      </c>
      <c r="Y27" s="94"/>
    </row>
    <row r="28" spans="1:25" ht="28.8" x14ac:dyDescent="0.3">
      <c r="A28" s="22" t="s">
        <v>24</v>
      </c>
      <c r="B28" s="23" t="s">
        <v>147</v>
      </c>
      <c r="C28" s="128" t="s">
        <v>148</v>
      </c>
      <c r="D28" s="23" t="s">
        <v>149</v>
      </c>
      <c r="E28" s="33" t="s">
        <v>88</v>
      </c>
      <c r="F28" s="96" t="s">
        <v>29</v>
      </c>
      <c r="G28" s="24" t="s">
        <v>30</v>
      </c>
      <c r="H28" s="25" t="s">
        <v>31</v>
      </c>
      <c r="I28" s="26"/>
      <c r="J28" s="26">
        <v>46508</v>
      </c>
      <c r="K28" s="26"/>
      <c r="L28" s="27" t="s">
        <v>53</v>
      </c>
      <c r="M28" s="28" t="s">
        <v>42</v>
      </c>
      <c r="N28" s="103" t="s">
        <v>66</v>
      </c>
      <c r="O28" s="28"/>
      <c r="P28" s="37" t="s">
        <v>150</v>
      </c>
      <c r="Q28" s="31" t="s">
        <v>45</v>
      </c>
      <c r="R28" s="31" t="s">
        <v>35</v>
      </c>
      <c r="S28" s="32" t="s">
        <v>91</v>
      </c>
      <c r="T28" s="32" t="s">
        <v>91</v>
      </c>
      <c r="U28" s="33" t="str">
        <f t="shared" si="0"/>
        <v>Digitization ProgramsDigitization Programs</v>
      </c>
      <c r="V28" s="32" t="s">
        <v>92</v>
      </c>
      <c r="W28" s="32" t="s">
        <v>151</v>
      </c>
      <c r="X28" s="32"/>
      <c r="Y28" s="94"/>
    </row>
    <row r="29" spans="1:25" ht="28.8" x14ac:dyDescent="0.3">
      <c r="A29" s="22" t="s">
        <v>24</v>
      </c>
      <c r="B29" s="23" t="s">
        <v>133</v>
      </c>
      <c r="C29" s="128" t="s">
        <v>152</v>
      </c>
      <c r="D29" s="23" t="s">
        <v>153</v>
      </c>
      <c r="E29" s="33" t="s">
        <v>64</v>
      </c>
      <c r="F29" s="96" t="s">
        <v>89</v>
      </c>
      <c r="G29" s="24" t="s">
        <v>30</v>
      </c>
      <c r="H29" s="25" t="s">
        <v>31</v>
      </c>
      <c r="I29" s="26">
        <v>45778</v>
      </c>
      <c r="J29" s="26">
        <v>46539</v>
      </c>
      <c r="K29" s="26"/>
      <c r="L29" s="27" t="s">
        <v>53</v>
      </c>
      <c r="M29" s="28" t="s">
        <v>42</v>
      </c>
      <c r="N29" s="103" t="s">
        <v>136</v>
      </c>
      <c r="O29" s="28" t="s">
        <v>55</v>
      </c>
      <c r="P29" s="37" t="s">
        <v>154</v>
      </c>
      <c r="Q29" s="31" t="s">
        <v>45</v>
      </c>
      <c r="R29" s="31" t="s">
        <v>35</v>
      </c>
      <c r="S29" s="32" t="s">
        <v>64</v>
      </c>
      <c r="T29" s="32" t="s">
        <v>64</v>
      </c>
      <c r="U29" s="33" t="str">
        <f t="shared" si="0"/>
        <v>Enterprise ApplicationsEnterprise Applications</v>
      </c>
      <c r="V29" s="32" t="s">
        <v>130</v>
      </c>
      <c r="W29" s="32" t="s">
        <v>137</v>
      </c>
      <c r="X29" s="32" t="s">
        <v>138</v>
      </c>
      <c r="Y29" s="94" t="s">
        <v>155</v>
      </c>
    </row>
    <row r="30" spans="1:25" ht="28.8" x14ac:dyDescent="0.3">
      <c r="A30" s="22"/>
      <c r="B30" s="23" t="s">
        <v>78</v>
      </c>
      <c r="C30" s="23" t="s">
        <v>156</v>
      </c>
      <c r="D30" s="23" t="s">
        <v>156</v>
      </c>
      <c r="E30" s="33" t="s">
        <v>64</v>
      </c>
      <c r="F30" s="96" t="s">
        <v>29</v>
      </c>
      <c r="G30" s="24" t="s">
        <v>30</v>
      </c>
      <c r="H30" s="25" t="s">
        <v>31</v>
      </c>
      <c r="I30" s="26"/>
      <c r="J30" s="26"/>
      <c r="K30" s="26"/>
      <c r="L30" s="27" t="s">
        <v>32</v>
      </c>
      <c r="M30" s="28" t="s">
        <v>34</v>
      </c>
      <c r="N30" s="103" t="s">
        <v>34</v>
      </c>
      <c r="O30" s="28" t="s">
        <v>55</v>
      </c>
      <c r="P30" s="37" t="s">
        <v>157</v>
      </c>
      <c r="Q30" s="31" t="s">
        <v>45</v>
      </c>
      <c r="R30" s="31" t="s">
        <v>48</v>
      </c>
      <c r="S30" s="32" t="s">
        <v>64</v>
      </c>
      <c r="T30" s="32" t="s">
        <v>64</v>
      </c>
      <c r="U30" s="33" t="str">
        <f>_xlfn.CONCAT(S30:T30)</f>
        <v>Enterprise ApplicationsEnterprise Applications</v>
      </c>
      <c r="V30" s="32" t="s">
        <v>97</v>
      </c>
      <c r="W30" s="32" t="s">
        <v>60</v>
      </c>
      <c r="X30" s="32" t="s">
        <v>158</v>
      </c>
      <c r="Y30" s="94"/>
    </row>
    <row r="31" spans="1:25" ht="28.8" x14ac:dyDescent="0.3">
      <c r="A31" s="22"/>
      <c r="B31" s="23" t="s">
        <v>78</v>
      </c>
      <c r="C31" s="23" t="s">
        <v>159</v>
      </c>
      <c r="E31" s="33" t="s">
        <v>64</v>
      </c>
      <c r="F31" s="96" t="s">
        <v>29</v>
      </c>
      <c r="G31" s="24" t="s">
        <v>30</v>
      </c>
      <c r="H31" s="25" t="s">
        <v>31</v>
      </c>
      <c r="I31" s="26"/>
      <c r="J31" s="26"/>
      <c r="K31" s="26"/>
      <c r="L31" s="27" t="s">
        <v>32</v>
      </c>
      <c r="M31" s="28" t="s">
        <v>34</v>
      </c>
      <c r="N31" s="103" t="s">
        <v>34</v>
      </c>
      <c r="O31" s="28" t="s">
        <v>55</v>
      </c>
      <c r="P31" s="37"/>
      <c r="Q31" s="31" t="s">
        <v>45</v>
      </c>
      <c r="R31" s="31" t="s">
        <v>48</v>
      </c>
      <c r="S31" s="32" t="s">
        <v>64</v>
      </c>
      <c r="T31" s="32" t="s">
        <v>64</v>
      </c>
      <c r="U31" s="33" t="str">
        <f>_xlfn.CONCAT(S31:T31)</f>
        <v>Enterprise ApplicationsEnterprise Applications</v>
      </c>
      <c r="V31" s="32" t="s">
        <v>97</v>
      </c>
      <c r="W31" s="32" t="s">
        <v>60</v>
      </c>
      <c r="X31" s="32" t="s">
        <v>158</v>
      </c>
      <c r="Y31" s="94"/>
    </row>
    <row r="32" spans="1:25" ht="15" customHeight="1" x14ac:dyDescent="0.3">
      <c r="B32" s="153" t="s">
        <v>160</v>
      </c>
      <c r="C32" s="153" t="s">
        <v>161</v>
      </c>
      <c r="D32" s="153" t="s">
        <v>162</v>
      </c>
      <c r="E32" s="33" t="s">
        <v>88</v>
      </c>
      <c r="F32" s="24"/>
      <c r="G32" s="24" t="s">
        <v>163</v>
      </c>
      <c r="H32" s="151" t="s">
        <v>52</v>
      </c>
      <c r="J32" s="26"/>
      <c r="K32" s="26"/>
      <c r="L32" s="27" t="s">
        <v>32</v>
      </c>
      <c r="M32" s="27"/>
      <c r="N32" s="102" t="s">
        <v>66</v>
      </c>
      <c r="O32" s="27"/>
      <c r="P32" s="154" t="s">
        <v>110</v>
      </c>
      <c r="Q32" s="27"/>
      <c r="R32" s="27"/>
      <c r="V32" s="32" t="s">
        <v>164</v>
      </c>
      <c r="W32" s="32"/>
      <c r="X32" s="32" t="s">
        <v>77</v>
      </c>
    </row>
    <row r="33" spans="1:25" customFormat="1" ht="14.4" x14ac:dyDescent="0.3">
      <c r="A33" s="22"/>
      <c r="B33" s="128" t="s">
        <v>165</v>
      </c>
      <c r="C33" s="150" t="s">
        <v>166</v>
      </c>
      <c r="D33" s="87" t="s">
        <v>167</v>
      </c>
      <c r="E33" s="33" t="s">
        <v>88</v>
      </c>
      <c r="F33" s="24"/>
      <c r="G33" s="24" t="s">
        <v>163</v>
      </c>
      <c r="H33" s="151" t="s">
        <v>52</v>
      </c>
      <c r="I33" s="26"/>
      <c r="J33" s="26"/>
      <c r="K33" s="26"/>
      <c r="L33" s="27" t="s">
        <v>53</v>
      </c>
      <c r="M33" s="28" t="s">
        <v>42</v>
      </c>
      <c r="N33" s="103" t="s">
        <v>34</v>
      </c>
      <c r="O33" s="28" t="s">
        <v>55</v>
      </c>
      <c r="P33" s="37" t="s">
        <v>110</v>
      </c>
      <c r="Q33" s="38" t="s">
        <v>35</v>
      </c>
      <c r="R33" s="28"/>
      <c r="S33" s="32"/>
      <c r="T33" s="32"/>
      <c r="U33" s="12"/>
      <c r="V33" s="32" t="s">
        <v>164</v>
      </c>
      <c r="W33" s="32"/>
      <c r="X33" s="32" t="s">
        <v>77</v>
      </c>
      <c r="Y33" s="34"/>
    </row>
    <row r="34" spans="1:25" ht="43.2" x14ac:dyDescent="0.3">
      <c r="A34" s="22"/>
      <c r="B34" s="23" t="s">
        <v>168</v>
      </c>
      <c r="C34" s="113" t="s">
        <v>168</v>
      </c>
      <c r="D34" s="23" t="s">
        <v>169</v>
      </c>
      <c r="E34" s="33" t="s">
        <v>40</v>
      </c>
      <c r="F34" s="50"/>
      <c r="G34" s="24" t="s">
        <v>163</v>
      </c>
      <c r="H34" s="24" t="s">
        <v>52</v>
      </c>
      <c r="J34" s="32"/>
      <c r="K34" s="32"/>
      <c r="L34" s="28" t="s">
        <v>53</v>
      </c>
      <c r="M34" s="28" t="s">
        <v>42</v>
      </c>
      <c r="N34" s="103" t="s">
        <v>170</v>
      </c>
      <c r="O34" s="28" t="s">
        <v>55</v>
      </c>
      <c r="P34" s="37" t="s">
        <v>171</v>
      </c>
      <c r="Q34" s="28" t="s">
        <v>35</v>
      </c>
      <c r="R34" s="29"/>
      <c r="S34" s="32" t="s">
        <v>28</v>
      </c>
      <c r="T34" s="32" t="s">
        <v>28</v>
      </c>
      <c r="U34" s="33" t="str">
        <f>_xlfn.CONCAT(S34:T34)</f>
        <v>Technology Enablement &amp; TransformationTechnology Enablement &amp; Transformation</v>
      </c>
      <c r="V34" s="32" t="s">
        <v>47</v>
      </c>
      <c r="W34" s="32" t="s">
        <v>172</v>
      </c>
      <c r="X34" s="32" t="s">
        <v>59</v>
      </c>
    </row>
    <row r="35" spans="1:25" customFormat="1" ht="28.8" x14ac:dyDescent="0.3">
      <c r="A35" s="22"/>
      <c r="B35" s="153"/>
      <c r="C35" s="149" t="s">
        <v>173</v>
      </c>
      <c r="D35" s="87" t="s">
        <v>174</v>
      </c>
      <c r="E35" s="33" t="s">
        <v>28</v>
      </c>
      <c r="F35" s="24"/>
      <c r="G35" s="24" t="s">
        <v>163</v>
      </c>
      <c r="H35" s="151" t="s">
        <v>52</v>
      </c>
      <c r="I35" s="26"/>
      <c r="J35" s="26"/>
      <c r="K35" s="26"/>
      <c r="L35" s="27" t="s">
        <v>109</v>
      </c>
      <c r="M35" s="28" t="s">
        <v>34</v>
      </c>
      <c r="N35" s="103" t="s">
        <v>43</v>
      </c>
      <c r="O35" s="28" t="s">
        <v>55</v>
      </c>
      <c r="P35" s="37" t="s">
        <v>175</v>
      </c>
      <c r="Q35" s="38"/>
      <c r="R35" s="28"/>
      <c r="S35" s="32" t="s">
        <v>28</v>
      </c>
      <c r="T35" s="32"/>
      <c r="U35" s="12" t="str">
        <f t="shared" si="0"/>
        <v>Technology Enablement &amp; Transformation</v>
      </c>
      <c r="V35" s="32"/>
      <c r="W35" s="32"/>
      <c r="X35" s="32"/>
      <c r="Y35" s="34"/>
    </row>
    <row r="36" spans="1:25" ht="28.8" x14ac:dyDescent="0.3">
      <c r="A36" s="129"/>
      <c r="B36" s="23" t="s">
        <v>147</v>
      </c>
      <c r="C36" s="23" t="s">
        <v>148</v>
      </c>
      <c r="D36" s="87" t="s">
        <v>148</v>
      </c>
      <c r="E36" s="33" t="s">
        <v>88</v>
      </c>
      <c r="F36" s="24"/>
      <c r="G36" s="24" t="s">
        <v>176</v>
      </c>
      <c r="H36" s="25"/>
      <c r="I36" s="26"/>
      <c r="J36" s="26"/>
      <c r="K36" s="26"/>
      <c r="L36" s="27"/>
      <c r="M36" s="28"/>
      <c r="N36" s="103"/>
      <c r="O36" s="28"/>
      <c r="P36" s="37"/>
      <c r="Q36" s="31"/>
      <c r="R36" s="31"/>
      <c r="S36" s="32" t="s">
        <v>91</v>
      </c>
      <c r="T36" s="32" t="s">
        <v>91</v>
      </c>
      <c r="U36" s="33" t="str">
        <f>_xlfn.CONCAT(S36:T36)</f>
        <v>Digitization ProgramsDigitization Programs</v>
      </c>
      <c r="V36" s="32" t="s">
        <v>92</v>
      </c>
      <c r="W36" s="32"/>
      <c r="X36" s="32"/>
      <c r="Y36" s="34"/>
    </row>
    <row r="37" spans="1:25" ht="15" customHeight="1" x14ac:dyDescent="0.3">
      <c r="B37" s="23" t="s">
        <v>147</v>
      </c>
      <c r="C37" s="23" t="s">
        <v>177</v>
      </c>
      <c r="E37" s="33" t="s">
        <v>88</v>
      </c>
      <c r="F37" s="24"/>
      <c r="G37" s="24" t="s">
        <v>176</v>
      </c>
      <c r="H37" s="24"/>
      <c r="J37" s="26"/>
      <c r="K37" s="26"/>
      <c r="L37" s="27"/>
      <c r="M37" s="27"/>
      <c r="N37" s="102"/>
      <c r="O37" s="27"/>
      <c r="P37" s="27"/>
      <c r="Q37" s="27"/>
      <c r="R37" s="27"/>
      <c r="V37" s="33"/>
      <c r="W37" s="33"/>
      <c r="X37" s="33"/>
    </row>
    <row r="38" spans="1:25" customFormat="1" ht="14.4" x14ac:dyDescent="0.3">
      <c r="A38" s="22"/>
      <c r="B38" s="128" t="s">
        <v>165</v>
      </c>
      <c r="C38" s="144" t="s">
        <v>178</v>
      </c>
      <c r="D38" s="110" t="s">
        <v>179</v>
      </c>
      <c r="E38" s="116" t="s">
        <v>88</v>
      </c>
      <c r="F38" s="140"/>
      <c r="G38" s="152" t="s">
        <v>176</v>
      </c>
      <c r="H38" s="25"/>
      <c r="I38" s="32"/>
      <c r="J38" s="32"/>
      <c r="K38" s="32"/>
      <c r="L38" s="28" t="s">
        <v>53</v>
      </c>
      <c r="M38" s="28" t="s">
        <v>42</v>
      </c>
      <c r="N38" s="103" t="s">
        <v>34</v>
      </c>
      <c r="O38" s="27" t="s">
        <v>55</v>
      </c>
      <c r="P38" s="37" t="s">
        <v>110</v>
      </c>
      <c r="Q38" s="27" t="s">
        <v>35</v>
      </c>
      <c r="R38" s="27"/>
      <c r="S38" s="32" t="s">
        <v>57</v>
      </c>
      <c r="T38" s="32"/>
      <c r="U38" s="12" t="str">
        <f>_xlfn.CONCAT(S38:T38)</f>
        <v>Data &amp; Analytics</v>
      </c>
      <c r="V38" s="32" t="s">
        <v>164</v>
      </c>
      <c r="W38" s="32"/>
      <c r="X38" s="32"/>
      <c r="Y38" s="21"/>
    </row>
    <row r="39" spans="1:25" ht="28.8" x14ac:dyDescent="0.3">
      <c r="A39" s="129"/>
      <c r="B39" s="23" t="s">
        <v>180</v>
      </c>
      <c r="C39" s="23" t="s">
        <v>181</v>
      </c>
      <c r="D39" s="87"/>
      <c r="E39" s="33" t="s">
        <v>88</v>
      </c>
      <c r="F39" s="24"/>
      <c r="G39" s="24" t="s">
        <v>176</v>
      </c>
      <c r="H39" s="25"/>
      <c r="I39" s="26"/>
      <c r="J39" s="26"/>
      <c r="K39" s="26"/>
      <c r="L39" s="27"/>
      <c r="M39" s="28"/>
      <c r="N39" s="103"/>
      <c r="O39" s="28"/>
      <c r="P39" s="37"/>
      <c r="Q39" s="31"/>
      <c r="R39" s="31"/>
      <c r="S39" s="32" t="s">
        <v>91</v>
      </c>
      <c r="T39" s="32" t="s">
        <v>91</v>
      </c>
      <c r="U39" s="33" t="str">
        <f>_xlfn.CONCAT(S39:T39)</f>
        <v>Digitization ProgramsDigitization Programs</v>
      </c>
      <c r="V39" s="32" t="s">
        <v>92</v>
      </c>
      <c r="W39" s="32"/>
      <c r="X39" s="32"/>
      <c r="Y39" s="34"/>
    </row>
    <row r="40" spans="1:25" ht="28.8" x14ac:dyDescent="0.3">
      <c r="B40" s="23" t="s">
        <v>180</v>
      </c>
      <c r="C40" s="23" t="s">
        <v>182</v>
      </c>
      <c r="E40" s="33" t="s">
        <v>88</v>
      </c>
      <c r="F40" s="119"/>
      <c r="G40" s="120" t="s">
        <v>176</v>
      </c>
      <c r="H40" s="119"/>
      <c r="J40" s="122"/>
      <c r="K40" s="122"/>
      <c r="L40" s="123"/>
      <c r="M40" s="123"/>
      <c r="N40" s="123"/>
      <c r="O40" s="123"/>
      <c r="P40" s="123"/>
      <c r="Q40" s="125" t="s">
        <v>35</v>
      </c>
      <c r="R40" s="124"/>
      <c r="V40" s="116"/>
      <c r="W40" s="116"/>
      <c r="X40" s="116"/>
    </row>
    <row r="41" spans="1:25" ht="14.4" x14ac:dyDescent="0.3">
      <c r="B41" s="23" t="s">
        <v>180</v>
      </c>
      <c r="C41" s="23" t="s">
        <v>183</v>
      </c>
      <c r="E41" s="33" t="s">
        <v>88</v>
      </c>
      <c r="F41" s="119"/>
      <c r="G41" s="120" t="s">
        <v>176</v>
      </c>
      <c r="H41" s="119"/>
      <c r="J41" s="122"/>
      <c r="K41" s="122"/>
      <c r="L41" s="123"/>
      <c r="M41" s="123"/>
      <c r="N41" s="123"/>
      <c r="O41" s="123"/>
      <c r="P41" s="123"/>
      <c r="Q41" s="123"/>
      <c r="R41" s="124"/>
      <c r="V41" s="116"/>
      <c r="W41" s="116"/>
      <c r="X41" s="116"/>
    </row>
    <row r="42" spans="1:25" ht="14.4" x14ac:dyDescent="0.3">
      <c r="B42" s="23" t="s">
        <v>25</v>
      </c>
      <c r="C42" s="23" t="s">
        <v>184</v>
      </c>
      <c r="E42" s="33" t="s">
        <v>88</v>
      </c>
      <c r="F42" s="24"/>
      <c r="G42" s="24" t="s">
        <v>176</v>
      </c>
      <c r="H42" s="24"/>
      <c r="J42" s="26"/>
      <c r="K42" s="26"/>
      <c r="L42" s="27"/>
      <c r="M42" s="27"/>
      <c r="N42" s="102"/>
      <c r="O42" s="27"/>
      <c r="P42" s="27"/>
      <c r="Q42" s="27"/>
      <c r="R42" s="27"/>
      <c r="V42" s="33"/>
      <c r="W42" s="33"/>
      <c r="X42" s="33"/>
    </row>
    <row r="43" spans="1:25" customFormat="1" ht="28.8" x14ac:dyDescent="0.3">
      <c r="A43" s="130"/>
      <c r="B43" s="23" t="s">
        <v>106</v>
      </c>
      <c r="C43" s="110" t="s">
        <v>185</v>
      </c>
      <c r="D43" s="110" t="s">
        <v>186</v>
      </c>
      <c r="E43" s="33" t="s">
        <v>88</v>
      </c>
      <c r="F43" s="119"/>
      <c r="G43" s="120" t="s">
        <v>176</v>
      </c>
      <c r="H43" s="121"/>
      <c r="I43" s="122"/>
      <c r="J43" s="122"/>
      <c r="K43" s="122"/>
      <c r="L43" s="123"/>
      <c r="M43" s="124"/>
      <c r="N43" s="124"/>
      <c r="O43" s="124"/>
      <c r="P43" s="66"/>
      <c r="Q43" s="125" t="s">
        <v>35</v>
      </c>
      <c r="R43" s="124"/>
      <c r="S43" s="116"/>
      <c r="T43" s="116"/>
      <c r="U43" s="126"/>
      <c r="V43" s="116"/>
      <c r="W43" s="116"/>
      <c r="X43" s="116"/>
      <c r="Y43" s="127"/>
    </row>
    <row r="44" spans="1:25" customFormat="1" ht="28.8" x14ac:dyDescent="0.3">
      <c r="A44" s="130"/>
      <c r="B44" s="23" t="s">
        <v>106</v>
      </c>
      <c r="C44" s="110" t="s">
        <v>187</v>
      </c>
      <c r="D44" s="110" t="s">
        <v>186</v>
      </c>
      <c r="E44" s="33" t="s">
        <v>88</v>
      </c>
      <c r="F44" s="119"/>
      <c r="G44" s="120" t="s">
        <v>176</v>
      </c>
      <c r="H44" s="121"/>
      <c r="I44" s="122"/>
      <c r="J44" s="122"/>
      <c r="K44" s="122"/>
      <c r="L44" s="123"/>
      <c r="M44" s="124"/>
      <c r="N44" s="124"/>
      <c r="O44" s="124"/>
      <c r="P44" s="66"/>
      <c r="Q44" s="125"/>
      <c r="R44" s="124"/>
      <c r="S44" s="116"/>
      <c r="T44" s="116"/>
      <c r="U44" s="126"/>
      <c r="V44" s="116"/>
      <c r="W44" s="116"/>
      <c r="X44" s="116"/>
      <c r="Y44" s="127"/>
    </row>
    <row r="45" spans="1:25" customFormat="1" ht="28.8" x14ac:dyDescent="0.3">
      <c r="A45" s="130"/>
      <c r="B45" s="23" t="s">
        <v>106</v>
      </c>
      <c r="C45" s="110" t="s">
        <v>188</v>
      </c>
      <c r="D45" s="110" t="s">
        <v>186</v>
      </c>
      <c r="E45" s="33" t="s">
        <v>88</v>
      </c>
      <c r="F45" s="119"/>
      <c r="G45" s="120" t="s">
        <v>176</v>
      </c>
      <c r="H45" s="121"/>
      <c r="I45" s="122"/>
      <c r="J45" s="122"/>
      <c r="K45" s="122"/>
      <c r="L45" s="123"/>
      <c r="M45" s="124"/>
      <c r="N45" s="124"/>
      <c r="O45" s="124"/>
      <c r="P45" s="66"/>
      <c r="Q45" s="125"/>
      <c r="R45" s="124"/>
      <c r="S45" s="116"/>
      <c r="T45" s="116"/>
      <c r="U45" s="126"/>
      <c r="V45" s="116"/>
      <c r="W45" s="116"/>
      <c r="X45" s="116"/>
      <c r="Y45" s="127"/>
    </row>
    <row r="46" spans="1:25" customFormat="1" ht="28.8" x14ac:dyDescent="0.3">
      <c r="A46" s="130"/>
      <c r="B46" s="23" t="s">
        <v>106</v>
      </c>
      <c r="C46" s="110" t="s">
        <v>189</v>
      </c>
      <c r="D46" s="110" t="s">
        <v>186</v>
      </c>
      <c r="E46" s="33" t="s">
        <v>88</v>
      </c>
      <c r="F46" s="119"/>
      <c r="G46" s="120" t="s">
        <v>176</v>
      </c>
      <c r="H46" s="121"/>
      <c r="I46" s="122"/>
      <c r="J46" s="122"/>
      <c r="K46" s="122"/>
      <c r="L46" s="123"/>
      <c r="M46" s="124"/>
      <c r="N46" s="124"/>
      <c r="O46" s="124"/>
      <c r="P46" s="66"/>
      <c r="Q46" s="125"/>
      <c r="R46" s="124"/>
      <c r="S46" s="116"/>
      <c r="T46" s="116"/>
      <c r="U46" s="126"/>
      <c r="V46" s="116"/>
      <c r="W46" s="116"/>
      <c r="X46" s="116"/>
      <c r="Y46" s="127"/>
    </row>
    <row r="47" spans="1:25" customFormat="1" ht="28.8" x14ac:dyDescent="0.3">
      <c r="A47" s="130"/>
      <c r="B47" s="23" t="s">
        <v>106</v>
      </c>
      <c r="C47" s="110" t="s">
        <v>190</v>
      </c>
      <c r="D47" s="110" t="s">
        <v>186</v>
      </c>
      <c r="E47" s="33" t="s">
        <v>88</v>
      </c>
      <c r="F47" s="119"/>
      <c r="G47" s="120" t="s">
        <v>176</v>
      </c>
      <c r="H47" s="121"/>
      <c r="I47" s="122"/>
      <c r="J47" s="122"/>
      <c r="K47" s="122"/>
      <c r="L47" s="123"/>
      <c r="M47" s="124"/>
      <c r="N47" s="124"/>
      <c r="O47" s="124"/>
      <c r="P47" s="66"/>
      <c r="Q47" s="125"/>
      <c r="R47" s="124"/>
      <c r="S47" s="116"/>
      <c r="T47" s="116"/>
      <c r="U47" s="126"/>
      <c r="V47" s="116"/>
      <c r="W47" s="116"/>
      <c r="X47" s="116"/>
      <c r="Y47" s="127"/>
    </row>
    <row r="48" spans="1:25" customFormat="1" ht="28.8" x14ac:dyDescent="0.3">
      <c r="A48" s="130"/>
      <c r="B48" s="23" t="s">
        <v>106</v>
      </c>
      <c r="C48" s="110" t="s">
        <v>191</v>
      </c>
      <c r="D48" s="110" t="s">
        <v>186</v>
      </c>
      <c r="E48" s="33" t="s">
        <v>88</v>
      </c>
      <c r="F48" s="119"/>
      <c r="G48" s="120" t="s">
        <v>176</v>
      </c>
      <c r="H48" s="121"/>
      <c r="I48" s="122"/>
      <c r="J48" s="122"/>
      <c r="K48" s="122"/>
      <c r="L48" s="123"/>
      <c r="M48" s="124"/>
      <c r="N48" s="124"/>
      <c r="O48" s="124"/>
      <c r="P48" s="66"/>
      <c r="Q48" s="125"/>
      <c r="R48" s="124"/>
      <c r="S48" s="116"/>
      <c r="T48" s="116"/>
      <c r="U48" s="126"/>
      <c r="V48" s="116"/>
      <c r="W48" s="116"/>
      <c r="X48" s="116"/>
      <c r="Y48" s="127"/>
    </row>
    <row r="49" spans="1:25" customFormat="1" ht="14.4" x14ac:dyDescent="0.3">
      <c r="A49" s="130"/>
      <c r="B49" s="23" t="s">
        <v>106</v>
      </c>
      <c r="C49" s="110" t="s">
        <v>192</v>
      </c>
      <c r="D49" s="110" t="s">
        <v>193</v>
      </c>
      <c r="E49" s="33" t="s">
        <v>88</v>
      </c>
      <c r="F49" s="119"/>
      <c r="G49" s="120" t="s">
        <v>176</v>
      </c>
      <c r="H49" s="121"/>
      <c r="I49" s="122"/>
      <c r="J49" s="122"/>
      <c r="K49" s="122"/>
      <c r="L49" s="123"/>
      <c r="M49" s="124"/>
      <c r="N49" s="124"/>
      <c r="O49" s="124"/>
      <c r="P49" s="66"/>
      <c r="Q49" s="125" t="s">
        <v>35</v>
      </c>
      <c r="R49" s="124"/>
      <c r="S49" s="116"/>
      <c r="T49" s="116"/>
      <c r="U49" s="126"/>
      <c r="V49" s="116"/>
      <c r="W49" s="116"/>
      <c r="X49" s="116"/>
      <c r="Y49" s="127"/>
    </row>
    <row r="50" spans="1:25" customFormat="1" ht="14.4" x14ac:dyDescent="0.3">
      <c r="A50" s="130"/>
      <c r="B50" s="23" t="s">
        <v>106</v>
      </c>
      <c r="C50" s="110" t="s">
        <v>194</v>
      </c>
      <c r="D50" s="110" t="s">
        <v>193</v>
      </c>
      <c r="E50" s="33" t="s">
        <v>88</v>
      </c>
      <c r="F50" s="119"/>
      <c r="G50" s="120" t="s">
        <v>176</v>
      </c>
      <c r="H50" s="121"/>
      <c r="I50" s="122"/>
      <c r="J50" s="122"/>
      <c r="K50" s="122"/>
      <c r="L50" s="123"/>
      <c r="M50" s="124"/>
      <c r="N50" s="124"/>
      <c r="O50" s="124"/>
      <c r="P50" s="66"/>
      <c r="Q50" s="125"/>
      <c r="R50" s="124"/>
      <c r="S50" s="116"/>
      <c r="T50" s="116"/>
      <c r="U50" s="126"/>
      <c r="V50" s="116"/>
      <c r="W50" s="116"/>
      <c r="X50" s="116"/>
      <c r="Y50" s="127"/>
    </row>
    <row r="51" spans="1:25" customFormat="1" ht="14.4" x14ac:dyDescent="0.3">
      <c r="A51" s="130"/>
      <c r="B51" s="23" t="s">
        <v>106</v>
      </c>
      <c r="C51" s="110" t="s">
        <v>195</v>
      </c>
      <c r="D51" s="110" t="s">
        <v>193</v>
      </c>
      <c r="E51" s="33" t="s">
        <v>88</v>
      </c>
      <c r="F51" s="119"/>
      <c r="G51" s="120" t="s">
        <v>176</v>
      </c>
      <c r="H51" s="121"/>
      <c r="I51" s="122"/>
      <c r="J51" s="122"/>
      <c r="K51" s="122"/>
      <c r="L51" s="123"/>
      <c r="M51" s="124"/>
      <c r="N51" s="124"/>
      <c r="O51" s="124"/>
      <c r="P51" s="66"/>
      <c r="Q51" s="125"/>
      <c r="R51" s="124"/>
      <c r="S51" s="116"/>
      <c r="T51" s="116"/>
      <c r="U51" s="126"/>
      <c r="V51" s="116"/>
      <c r="W51" s="116"/>
      <c r="X51" s="116"/>
      <c r="Y51" s="127"/>
    </row>
    <row r="52" spans="1:25" customFormat="1" ht="14.4" x14ac:dyDescent="0.3">
      <c r="A52" s="130"/>
      <c r="B52" s="23" t="s">
        <v>106</v>
      </c>
      <c r="C52" s="110" t="s">
        <v>196</v>
      </c>
      <c r="D52" s="110" t="s">
        <v>193</v>
      </c>
      <c r="E52" s="33" t="s">
        <v>88</v>
      </c>
      <c r="F52" s="119"/>
      <c r="G52" s="120" t="s">
        <v>176</v>
      </c>
      <c r="H52" s="121"/>
      <c r="I52" s="122"/>
      <c r="J52" s="122"/>
      <c r="K52" s="122"/>
      <c r="L52" s="123"/>
      <c r="M52" s="124"/>
      <c r="N52" s="124"/>
      <c r="O52" s="124"/>
      <c r="P52" s="66"/>
      <c r="Q52" s="125"/>
      <c r="R52" s="124"/>
      <c r="S52" s="116"/>
      <c r="T52" s="116"/>
      <c r="U52" s="126"/>
      <c r="V52" s="116"/>
      <c r="W52" s="116"/>
      <c r="X52" s="116"/>
      <c r="Y52" s="127"/>
    </row>
    <row r="53" spans="1:25" customFormat="1" ht="14.4" x14ac:dyDescent="0.3">
      <c r="A53" s="130"/>
      <c r="B53" s="23" t="s">
        <v>106</v>
      </c>
      <c r="C53" s="110" t="s">
        <v>197</v>
      </c>
      <c r="D53" s="110" t="s">
        <v>193</v>
      </c>
      <c r="E53" s="33" t="s">
        <v>88</v>
      </c>
      <c r="F53" s="119"/>
      <c r="G53" s="120" t="s">
        <v>176</v>
      </c>
      <c r="H53" s="121"/>
      <c r="I53" s="122"/>
      <c r="J53" s="122"/>
      <c r="K53" s="122"/>
      <c r="L53" s="123"/>
      <c r="M53" s="124"/>
      <c r="N53" s="124"/>
      <c r="O53" s="124"/>
      <c r="P53" s="66"/>
      <c r="Q53" s="125"/>
      <c r="R53" s="124"/>
      <c r="S53" s="116"/>
      <c r="T53" s="116"/>
      <c r="U53" s="126"/>
      <c r="V53" s="116"/>
      <c r="W53" s="116"/>
      <c r="X53" s="116"/>
      <c r="Y53" s="127"/>
    </row>
    <row r="54" spans="1:25" customFormat="1" ht="14.4" x14ac:dyDescent="0.3">
      <c r="A54" s="130"/>
      <c r="B54" s="23" t="s">
        <v>106</v>
      </c>
      <c r="C54" s="110" t="s">
        <v>198</v>
      </c>
      <c r="D54" s="110" t="s">
        <v>193</v>
      </c>
      <c r="E54" s="33" t="s">
        <v>88</v>
      </c>
      <c r="F54" s="119"/>
      <c r="G54" s="120" t="s">
        <v>176</v>
      </c>
      <c r="H54" s="121"/>
      <c r="I54" s="122"/>
      <c r="J54" s="122"/>
      <c r="K54" s="122"/>
      <c r="L54" s="123"/>
      <c r="M54" s="124"/>
      <c r="N54" s="124"/>
      <c r="O54" s="124"/>
      <c r="P54" s="66"/>
      <c r="Q54" s="125"/>
      <c r="R54" s="124"/>
      <c r="S54" s="116"/>
      <c r="T54" s="116"/>
      <c r="U54" s="126"/>
      <c r="V54" s="116"/>
      <c r="W54" s="116"/>
      <c r="X54" s="116"/>
      <c r="Y54" s="127"/>
    </row>
    <row r="55" spans="1:25" ht="15" customHeight="1" x14ac:dyDescent="0.3">
      <c r="A55" s="129"/>
      <c r="B55" s="110" t="s">
        <v>78</v>
      </c>
      <c r="C55" s="110" t="s">
        <v>199</v>
      </c>
      <c r="D55" s="110" t="s">
        <v>200</v>
      </c>
      <c r="E55" s="33" t="s">
        <v>88</v>
      </c>
      <c r="F55" s="24"/>
      <c r="G55" s="24" t="s">
        <v>176</v>
      </c>
      <c r="H55" s="25"/>
      <c r="I55" s="26"/>
      <c r="J55" s="26"/>
      <c r="K55" s="26"/>
      <c r="L55" s="27" t="s">
        <v>109</v>
      </c>
      <c r="M55" s="28" t="s">
        <v>34</v>
      </c>
      <c r="N55" s="103" t="s">
        <v>66</v>
      </c>
      <c r="O55" s="28" t="s">
        <v>55</v>
      </c>
      <c r="P55" s="37" t="s">
        <v>125</v>
      </c>
      <c r="Q55" s="31"/>
      <c r="R55" s="31"/>
      <c r="S55" s="32" t="s">
        <v>91</v>
      </c>
      <c r="T55" s="32" t="s">
        <v>92</v>
      </c>
      <c r="U55" s="33" t="str">
        <f>_xlfn.CONCAT(S55:T55)</f>
        <v>Digitization ProgramsBala Chander</v>
      </c>
      <c r="V55" s="32" t="s">
        <v>92</v>
      </c>
      <c r="W55" s="32" t="s">
        <v>201</v>
      </c>
      <c r="X55" s="32" t="s">
        <v>59</v>
      </c>
      <c r="Y55" s="34"/>
    </row>
    <row r="56" spans="1:25" ht="14.4" x14ac:dyDescent="0.3">
      <c r="B56" s="23" t="s">
        <v>78</v>
      </c>
      <c r="C56" s="23" t="s">
        <v>202</v>
      </c>
      <c r="D56" s="23" t="s">
        <v>203</v>
      </c>
      <c r="E56" s="33" t="s">
        <v>88</v>
      </c>
      <c r="F56" s="24"/>
      <c r="G56" s="24" t="s">
        <v>176</v>
      </c>
      <c r="H56" s="24"/>
      <c r="J56" s="26"/>
      <c r="K56" s="26"/>
      <c r="L56" s="27"/>
      <c r="M56" s="27"/>
      <c r="N56" s="102"/>
      <c r="O56" s="27"/>
      <c r="P56" s="27" t="s">
        <v>204</v>
      </c>
      <c r="Q56" s="27"/>
      <c r="R56" s="27"/>
      <c r="V56" s="33"/>
      <c r="W56" s="33"/>
      <c r="X56" s="33"/>
    </row>
    <row r="57" spans="1:25" ht="15" customHeight="1" x14ac:dyDescent="0.3">
      <c r="B57" s="23"/>
      <c r="C57" s="23" t="s">
        <v>372</v>
      </c>
      <c r="E57" s="33" t="s">
        <v>88</v>
      </c>
      <c r="G57" s="24" t="s">
        <v>176</v>
      </c>
      <c r="H57" s="16" t="s">
        <v>31</v>
      </c>
      <c r="J57" s="26"/>
      <c r="K57" s="122"/>
      <c r="L57" s="27"/>
      <c r="M57" s="27"/>
      <c r="N57" s="27"/>
      <c r="O57" s="27"/>
      <c r="P57" s="27"/>
      <c r="Q57" s="27"/>
      <c r="R57" s="27"/>
      <c r="V57" s="32"/>
      <c r="W57" s="32"/>
      <c r="X57" s="32"/>
    </row>
    <row r="58" spans="1:25" ht="15" customHeight="1" x14ac:dyDescent="0.3">
      <c r="B58" s="23" t="s">
        <v>180</v>
      </c>
      <c r="C58" s="23" t="s">
        <v>373</v>
      </c>
      <c r="E58" s="33" t="s">
        <v>88</v>
      </c>
      <c r="F58" s="24"/>
      <c r="G58" s="24" t="s">
        <v>176</v>
      </c>
      <c r="H58" s="24"/>
      <c r="J58" s="26"/>
      <c r="K58" s="26"/>
      <c r="L58" s="27"/>
      <c r="M58" s="27"/>
      <c r="N58" s="102"/>
      <c r="O58" s="27"/>
      <c r="P58" s="27"/>
      <c r="Q58" s="27"/>
      <c r="R58" s="27"/>
      <c r="V58" s="33"/>
      <c r="W58" s="33"/>
      <c r="X58" s="33"/>
    </row>
    <row r="59" spans="1:25" ht="28.8" x14ac:dyDescent="0.3">
      <c r="A59" s="129"/>
      <c r="B59" s="110" t="s">
        <v>69</v>
      </c>
      <c r="C59" s="110" t="s">
        <v>205</v>
      </c>
      <c r="D59" s="110" t="s">
        <v>206</v>
      </c>
      <c r="E59" s="33" t="s">
        <v>64</v>
      </c>
      <c r="F59" s="24"/>
      <c r="G59" s="24" t="s">
        <v>176</v>
      </c>
      <c r="H59" s="24" t="s">
        <v>176</v>
      </c>
      <c r="I59" s="26"/>
      <c r="J59" s="26"/>
      <c r="K59" s="26"/>
      <c r="L59" s="27" t="s">
        <v>109</v>
      </c>
      <c r="M59" s="28" t="s">
        <v>42</v>
      </c>
      <c r="N59" s="103" t="s">
        <v>136</v>
      </c>
      <c r="O59" s="28" t="s">
        <v>55</v>
      </c>
      <c r="P59" s="37" t="s">
        <v>76</v>
      </c>
      <c r="Q59" s="31" t="s">
        <v>35</v>
      </c>
      <c r="R59" s="31" t="s">
        <v>35</v>
      </c>
      <c r="S59" s="32" t="s">
        <v>64</v>
      </c>
      <c r="T59" s="32" t="s">
        <v>64</v>
      </c>
      <c r="U59" s="33" t="str">
        <f>_xlfn.CONCAT(S59:T59)</f>
        <v>Enterprise ApplicationsEnterprise Applications</v>
      </c>
      <c r="V59" s="32" t="s">
        <v>130</v>
      </c>
      <c r="W59" s="32" t="s">
        <v>76</v>
      </c>
      <c r="X59" s="32" t="s">
        <v>138</v>
      </c>
      <c r="Y59" s="34" t="s">
        <v>207</v>
      </c>
    </row>
    <row r="60" spans="1:25" ht="43.2" x14ac:dyDescent="0.3">
      <c r="A60" s="98"/>
      <c r="B60" s="23"/>
      <c r="C60" s="23" t="s">
        <v>208</v>
      </c>
      <c r="D60" s="23" t="s">
        <v>209</v>
      </c>
      <c r="E60" s="33" t="s">
        <v>28</v>
      </c>
      <c r="F60" s="88"/>
      <c r="G60" s="99" t="s">
        <v>176</v>
      </c>
      <c r="H60" s="100" t="s">
        <v>52</v>
      </c>
      <c r="I60" s="101"/>
      <c r="J60" s="26"/>
      <c r="K60" s="26"/>
      <c r="L60" s="27" t="s">
        <v>109</v>
      </c>
      <c r="M60" s="27" t="s">
        <v>34</v>
      </c>
      <c r="N60" s="102" t="s">
        <v>34</v>
      </c>
      <c r="O60" s="27"/>
      <c r="P60" s="27" t="s">
        <v>67</v>
      </c>
      <c r="Q60" s="104" t="s">
        <v>35</v>
      </c>
      <c r="R60" s="103" t="s">
        <v>35</v>
      </c>
      <c r="S60" s="33" t="s">
        <v>28</v>
      </c>
      <c r="T60" s="33" t="s">
        <v>28</v>
      </c>
      <c r="U60" s="33" t="str">
        <f>_xlfn.CONCAT(S60:T60)</f>
        <v>Technology Enablement &amp; TransformationTechnology Enablement &amp; Transformation</v>
      </c>
      <c r="V60" s="33" t="s">
        <v>36</v>
      </c>
      <c r="W60" s="33" t="s">
        <v>158</v>
      </c>
      <c r="X60" s="33"/>
      <c r="Y60" s="105"/>
    </row>
    <row r="61" spans="1:25" ht="57.6" x14ac:dyDescent="0.3">
      <c r="A61" s="129"/>
      <c r="B61" s="23"/>
      <c r="C61" s="23" t="s">
        <v>210</v>
      </c>
      <c r="D61" s="87" t="s">
        <v>211</v>
      </c>
      <c r="E61" s="33" t="s">
        <v>28</v>
      </c>
      <c r="F61" s="24"/>
      <c r="G61" s="24" t="s">
        <v>176</v>
      </c>
      <c r="H61" s="25" t="s">
        <v>31</v>
      </c>
      <c r="I61" s="26"/>
      <c r="J61" s="26"/>
      <c r="K61" s="26"/>
      <c r="L61" s="27" t="s">
        <v>109</v>
      </c>
      <c r="M61" s="28" t="s">
        <v>42</v>
      </c>
      <c r="N61" s="103" t="s">
        <v>170</v>
      </c>
      <c r="O61" s="28"/>
      <c r="P61" s="37" t="s">
        <v>105</v>
      </c>
      <c r="Q61" s="31" t="s">
        <v>35</v>
      </c>
      <c r="R61" s="31" t="s">
        <v>35</v>
      </c>
      <c r="S61" s="32" t="s">
        <v>28</v>
      </c>
      <c r="T61" s="32" t="s">
        <v>212</v>
      </c>
      <c r="U61" s="33" t="str">
        <f>_xlfn.CONCAT(S61:T61)</f>
        <v>Technology Enablement &amp; TransformationProduct Technology Solutions &amp; Infrastructure</v>
      </c>
      <c r="V61" s="32" t="s">
        <v>36</v>
      </c>
      <c r="W61" s="32" t="s">
        <v>213</v>
      </c>
      <c r="X61" s="32"/>
      <c r="Y61" s="34"/>
    </row>
    <row r="62" spans="1:25" ht="57.6" x14ac:dyDescent="0.3">
      <c r="A62" s="22"/>
      <c r="B62" s="23"/>
      <c r="C62" s="23" t="s">
        <v>214</v>
      </c>
      <c r="D62" s="23" t="s">
        <v>215</v>
      </c>
      <c r="E62" s="33" t="s">
        <v>40</v>
      </c>
      <c r="F62" s="24"/>
      <c r="G62" s="24" t="s">
        <v>176</v>
      </c>
      <c r="H62" s="24" t="s">
        <v>31</v>
      </c>
      <c r="I62" s="26"/>
      <c r="J62" s="26"/>
      <c r="K62" s="26"/>
      <c r="L62" s="27" t="s">
        <v>109</v>
      </c>
      <c r="M62" s="28" t="s">
        <v>34</v>
      </c>
      <c r="N62" s="103" t="s">
        <v>170</v>
      </c>
      <c r="O62" s="28" t="s">
        <v>55</v>
      </c>
      <c r="P62" s="37" t="s">
        <v>175</v>
      </c>
      <c r="Q62" s="31" t="s">
        <v>35</v>
      </c>
      <c r="R62" s="28" t="s">
        <v>35</v>
      </c>
      <c r="S62" s="32" t="s">
        <v>28</v>
      </c>
      <c r="T62" s="32" t="s">
        <v>28</v>
      </c>
      <c r="U62" s="33" t="str">
        <f>_xlfn.CONCAT(S62:T62)</f>
        <v>Technology Enablement &amp; TransformationTechnology Enablement &amp; Transformation</v>
      </c>
      <c r="V62" s="32" t="s">
        <v>36</v>
      </c>
      <c r="W62" s="32" t="s">
        <v>216</v>
      </c>
      <c r="X62" s="32"/>
      <c r="Y62" s="34"/>
    </row>
    <row r="63" spans="1:25" ht="28.8" x14ac:dyDescent="0.3">
      <c r="A63" s="22"/>
      <c r="B63" s="23" t="s">
        <v>217</v>
      </c>
      <c r="C63" s="23" t="s">
        <v>218</v>
      </c>
      <c r="D63" s="23" t="s">
        <v>219</v>
      </c>
      <c r="E63" s="33" t="s">
        <v>40</v>
      </c>
      <c r="F63" s="24"/>
      <c r="G63" s="24" t="s">
        <v>176</v>
      </c>
      <c r="H63" s="24" t="s">
        <v>31</v>
      </c>
      <c r="I63" s="26">
        <v>46048</v>
      </c>
      <c r="J63" s="26"/>
      <c r="K63" s="26"/>
      <c r="L63" s="27" t="s">
        <v>109</v>
      </c>
      <c r="M63" s="27" t="s">
        <v>42</v>
      </c>
      <c r="N63" s="102" t="s">
        <v>170</v>
      </c>
      <c r="O63" s="27"/>
      <c r="P63" s="27" t="s">
        <v>220</v>
      </c>
      <c r="Q63" s="31" t="s">
        <v>35</v>
      </c>
      <c r="R63" s="28" t="s">
        <v>35</v>
      </c>
      <c r="S63" s="32" t="s">
        <v>28</v>
      </c>
      <c r="T63" s="32"/>
      <c r="U63" s="33" t="str">
        <f>_xlfn.CONCAT(S63:T63)</f>
        <v>Technology Enablement &amp; Transformation</v>
      </c>
      <c r="V63" s="33" t="s">
        <v>221</v>
      </c>
      <c r="W63" s="33" t="s">
        <v>222</v>
      </c>
      <c r="X63" s="33" t="s">
        <v>138</v>
      </c>
      <c r="Y63" s="34"/>
    </row>
    <row r="64" spans="1:25" customFormat="1" ht="28.8" x14ac:dyDescent="0.3">
      <c r="A64" s="5"/>
      <c r="B64" s="182" t="s">
        <v>223</v>
      </c>
      <c r="C64" s="182" t="s">
        <v>224</v>
      </c>
      <c r="D64" s="182" t="s">
        <v>225</v>
      </c>
      <c r="E64" s="12" t="s">
        <v>88</v>
      </c>
      <c r="F64" s="76"/>
      <c r="G64" s="16" t="s">
        <v>226</v>
      </c>
      <c r="H64" s="16" t="s">
        <v>31</v>
      </c>
      <c r="I64" s="78"/>
      <c r="J64" s="3"/>
      <c r="K64" s="3"/>
      <c r="L64" s="1" t="s">
        <v>53</v>
      </c>
      <c r="M64" s="1" t="s">
        <v>42</v>
      </c>
      <c r="N64" s="77"/>
      <c r="O64" s="1"/>
      <c r="P64" s="1" t="s">
        <v>74</v>
      </c>
      <c r="Q64" s="181" t="s">
        <v>35</v>
      </c>
      <c r="R64" s="1"/>
      <c r="S64" s="78" t="s">
        <v>57</v>
      </c>
      <c r="T64" s="78"/>
      <c r="U64" s="118" t="str">
        <f>_xlfn.CONCAT(S64:T64)</f>
        <v>Data &amp; Analytics</v>
      </c>
      <c r="V64" s="12"/>
      <c r="W64" s="180"/>
      <c r="X64" s="33"/>
      <c r="Y64" s="21"/>
    </row>
    <row r="65" spans="1:25" customFormat="1" ht="14.4" x14ac:dyDescent="0.3">
      <c r="A65" s="5"/>
      <c r="B65" s="182" t="s">
        <v>227</v>
      </c>
      <c r="C65" s="182" t="s">
        <v>228</v>
      </c>
      <c r="D65" s="182" t="s">
        <v>229</v>
      </c>
      <c r="E65" s="12" t="s">
        <v>88</v>
      </c>
      <c r="F65" s="76"/>
      <c r="G65" s="16" t="s">
        <v>226</v>
      </c>
      <c r="H65" s="16" t="s">
        <v>31</v>
      </c>
      <c r="I65" s="78"/>
      <c r="J65" s="3"/>
      <c r="K65" s="3"/>
      <c r="L65" s="1" t="s">
        <v>109</v>
      </c>
      <c r="M65" s="1"/>
      <c r="N65" s="77" t="s">
        <v>34</v>
      </c>
      <c r="O65" s="1"/>
      <c r="P65" s="1" t="s">
        <v>230</v>
      </c>
      <c r="Q65" s="181"/>
      <c r="R65" s="1"/>
      <c r="S65" s="78"/>
      <c r="T65" s="78"/>
      <c r="U65" s="118"/>
      <c r="V65" s="12"/>
      <c r="W65" s="179"/>
      <c r="X65" s="179"/>
      <c r="Y65" s="21"/>
    </row>
    <row r="66" spans="1:25" customFormat="1" ht="14.4" x14ac:dyDescent="0.3">
      <c r="A66" s="5"/>
      <c r="B66" s="182" t="s">
        <v>227</v>
      </c>
      <c r="C66" s="182" t="s">
        <v>231</v>
      </c>
      <c r="D66" s="182" t="s">
        <v>232</v>
      </c>
      <c r="E66" s="12" t="s">
        <v>88</v>
      </c>
      <c r="F66" s="76"/>
      <c r="G66" s="16" t="s">
        <v>226</v>
      </c>
      <c r="H66" s="16" t="s">
        <v>31</v>
      </c>
      <c r="I66" s="78"/>
      <c r="J66" s="3"/>
      <c r="K66" s="3"/>
      <c r="L66" s="1" t="s">
        <v>109</v>
      </c>
      <c r="M66" s="1"/>
      <c r="N66" s="77" t="s">
        <v>34</v>
      </c>
      <c r="O66" s="1"/>
      <c r="P66" s="1" t="s">
        <v>230</v>
      </c>
      <c r="Q66" s="181"/>
      <c r="R66" s="1"/>
      <c r="S66" s="78"/>
      <c r="T66" s="78"/>
      <c r="U66" s="118"/>
      <c r="V66" s="12"/>
      <c r="W66" s="179"/>
      <c r="X66" s="179"/>
      <c r="Y66" s="21"/>
    </row>
    <row r="67" spans="1:25" customFormat="1" ht="28.8" x14ac:dyDescent="0.3">
      <c r="A67" s="8"/>
      <c r="B67" s="15" t="s">
        <v>133</v>
      </c>
      <c r="C67" s="15" t="s">
        <v>233</v>
      </c>
      <c r="D67" s="145" t="s">
        <v>234</v>
      </c>
      <c r="E67" s="33"/>
      <c r="F67" s="18" t="s">
        <v>29</v>
      </c>
      <c r="G67" s="39" t="s">
        <v>235</v>
      </c>
      <c r="H67" s="25" t="s">
        <v>236</v>
      </c>
      <c r="I67" s="26">
        <v>45444</v>
      </c>
      <c r="J67" s="26">
        <v>45868</v>
      </c>
      <c r="K67" s="26"/>
      <c r="L67" s="27" t="s">
        <v>53</v>
      </c>
      <c r="M67" s="28" t="s">
        <v>42</v>
      </c>
      <c r="N67" s="103" t="s">
        <v>136</v>
      </c>
      <c r="O67" s="28" t="s">
        <v>55</v>
      </c>
      <c r="P67" s="37" t="s">
        <v>137</v>
      </c>
      <c r="Q67" s="38" t="s">
        <v>45</v>
      </c>
      <c r="R67" s="28" t="s">
        <v>45</v>
      </c>
      <c r="S67" s="32" t="s">
        <v>64</v>
      </c>
      <c r="T67" s="32" t="s">
        <v>237</v>
      </c>
      <c r="U67" s="12" t="str">
        <f t="shared" ref="U67:U86" si="2">_xlfn.CONCAT(S67:T67)</f>
        <v>Enterprise ApplicationsSFDC &amp; CPQ Team</v>
      </c>
      <c r="V67" s="32" t="s">
        <v>238</v>
      </c>
      <c r="W67" s="32" t="s">
        <v>137</v>
      </c>
      <c r="X67" s="32" t="s">
        <v>138</v>
      </c>
      <c r="Y67" s="34" t="s">
        <v>239</v>
      </c>
    </row>
    <row r="68" spans="1:25" customFormat="1" ht="14.4" x14ac:dyDescent="0.3">
      <c r="A68" s="131"/>
      <c r="B68" s="15"/>
      <c r="C68" s="15" t="s">
        <v>240</v>
      </c>
      <c r="D68" s="145" t="s">
        <v>241</v>
      </c>
      <c r="E68" s="33"/>
      <c r="F68" s="18" t="s">
        <v>29</v>
      </c>
      <c r="G68" s="39" t="s">
        <v>235</v>
      </c>
      <c r="H68" s="25" t="s">
        <v>236</v>
      </c>
      <c r="I68" s="26"/>
      <c r="J68" s="26">
        <v>45894</v>
      </c>
      <c r="K68" s="26"/>
      <c r="L68" s="27" t="s">
        <v>109</v>
      </c>
      <c r="M68" s="28" t="s">
        <v>34</v>
      </c>
      <c r="N68" s="103" t="s">
        <v>43</v>
      </c>
      <c r="O68" s="28" t="s">
        <v>55</v>
      </c>
      <c r="P68" s="37" t="s">
        <v>242</v>
      </c>
      <c r="Q68" s="38" t="s">
        <v>45</v>
      </c>
      <c r="R68" s="28"/>
      <c r="S68" s="32" t="s">
        <v>91</v>
      </c>
      <c r="T68" s="32"/>
      <c r="U68" s="12" t="str">
        <f t="shared" si="2"/>
        <v>Digitization Programs</v>
      </c>
      <c r="V68" s="32" t="s">
        <v>68</v>
      </c>
      <c r="W68" s="32" t="s">
        <v>48</v>
      </c>
      <c r="X68" s="32" t="s">
        <v>114</v>
      </c>
      <c r="Y68" s="34"/>
    </row>
    <row r="69" spans="1:25" customFormat="1" ht="28.8" x14ac:dyDescent="0.3">
      <c r="A69" s="132"/>
      <c r="B69" s="15" t="s">
        <v>243</v>
      </c>
      <c r="C69" s="15" t="s">
        <v>244</v>
      </c>
      <c r="D69" s="145" t="s">
        <v>245</v>
      </c>
      <c r="E69" s="33"/>
      <c r="F69" s="18" t="s">
        <v>29</v>
      </c>
      <c r="G69" s="39" t="s">
        <v>235</v>
      </c>
      <c r="H69" s="25" t="s">
        <v>236</v>
      </c>
      <c r="I69" s="26">
        <v>45658</v>
      </c>
      <c r="J69" s="26">
        <v>45884</v>
      </c>
      <c r="K69" s="26"/>
      <c r="L69" s="27" t="s">
        <v>53</v>
      </c>
      <c r="M69" s="28" t="s">
        <v>34</v>
      </c>
      <c r="N69" s="103" t="s">
        <v>66</v>
      </c>
      <c r="O69" s="28" t="s">
        <v>55</v>
      </c>
      <c r="P69" s="30" t="s">
        <v>246</v>
      </c>
      <c r="Q69" s="38" t="s">
        <v>45</v>
      </c>
      <c r="R69" s="28"/>
      <c r="S69" s="32" t="s">
        <v>57</v>
      </c>
      <c r="T69" s="33" t="s">
        <v>91</v>
      </c>
      <c r="U69" s="12" t="str">
        <f t="shared" si="2"/>
        <v>Data &amp; AnalyticsDigitization Programs</v>
      </c>
      <c r="V69" s="32" t="s">
        <v>247</v>
      </c>
      <c r="W69" s="32" t="s">
        <v>248</v>
      </c>
      <c r="X69" s="32" t="s">
        <v>59</v>
      </c>
      <c r="Y69" s="34" t="s">
        <v>249</v>
      </c>
    </row>
    <row r="70" spans="1:25" customFormat="1" ht="28.8" x14ac:dyDescent="0.3">
      <c r="A70" s="8"/>
      <c r="B70" s="15" t="s">
        <v>133</v>
      </c>
      <c r="C70" s="15" t="s">
        <v>250</v>
      </c>
      <c r="D70" s="145" t="s">
        <v>251</v>
      </c>
      <c r="E70" s="33"/>
      <c r="F70" s="18"/>
      <c r="G70" s="16" t="s">
        <v>235</v>
      </c>
      <c r="H70" s="17" t="s">
        <v>236</v>
      </c>
      <c r="I70" s="3"/>
      <c r="J70" s="3"/>
      <c r="K70" s="3"/>
      <c r="L70" s="1" t="s">
        <v>53</v>
      </c>
      <c r="M70" s="6" t="s">
        <v>34</v>
      </c>
      <c r="N70" s="49" t="s">
        <v>252</v>
      </c>
      <c r="O70" s="6" t="s">
        <v>55</v>
      </c>
      <c r="P70" s="9" t="s">
        <v>175</v>
      </c>
      <c r="Q70" s="14" t="s">
        <v>45</v>
      </c>
      <c r="R70" s="14"/>
      <c r="S70" s="2" t="s">
        <v>91</v>
      </c>
      <c r="T70" s="2" t="s">
        <v>57</v>
      </c>
      <c r="U70" s="12" t="str">
        <f t="shared" si="2"/>
        <v>Digitization ProgramsData &amp; Analytics</v>
      </c>
      <c r="V70" s="2" t="s">
        <v>253</v>
      </c>
      <c r="W70" s="2" t="s">
        <v>254</v>
      </c>
      <c r="X70" s="2" t="s">
        <v>59</v>
      </c>
      <c r="Y70" s="7"/>
    </row>
    <row r="71" spans="1:25" customFormat="1" ht="14.4" x14ac:dyDescent="0.3">
      <c r="A71" s="131"/>
      <c r="B71" s="15" t="s">
        <v>243</v>
      </c>
      <c r="C71" s="15" t="s">
        <v>255</v>
      </c>
      <c r="D71" s="145" t="s">
        <v>245</v>
      </c>
      <c r="E71" s="33"/>
      <c r="F71" s="18"/>
      <c r="G71" s="16" t="s">
        <v>235</v>
      </c>
      <c r="H71" s="17" t="s">
        <v>236</v>
      </c>
      <c r="I71" s="3"/>
      <c r="J71" s="3"/>
      <c r="K71" s="3"/>
      <c r="L71" s="1" t="s">
        <v>109</v>
      </c>
      <c r="M71" s="6" t="s">
        <v>34</v>
      </c>
      <c r="N71" s="49" t="s">
        <v>43</v>
      </c>
      <c r="O71" s="6" t="s">
        <v>55</v>
      </c>
      <c r="P71" s="9" t="s">
        <v>246</v>
      </c>
      <c r="Q71" s="14" t="s">
        <v>45</v>
      </c>
      <c r="R71" s="14"/>
      <c r="S71" s="2" t="s">
        <v>91</v>
      </c>
      <c r="T71" s="2"/>
      <c r="U71" s="12" t="str">
        <f t="shared" si="2"/>
        <v>Digitization Programs</v>
      </c>
      <c r="V71" s="2" t="s">
        <v>92</v>
      </c>
      <c r="W71" s="2" t="s">
        <v>242</v>
      </c>
      <c r="X71" s="2" t="s">
        <v>81</v>
      </c>
      <c r="Y71" s="7"/>
    </row>
    <row r="72" spans="1:25" customFormat="1" ht="28.8" x14ac:dyDescent="0.3">
      <c r="A72" s="8"/>
      <c r="B72" s="15" t="s">
        <v>256</v>
      </c>
      <c r="C72" s="15" t="s">
        <v>257</v>
      </c>
      <c r="D72" s="145" t="s">
        <v>258</v>
      </c>
      <c r="E72" s="33"/>
      <c r="F72" s="18" t="s">
        <v>29</v>
      </c>
      <c r="G72" s="39" t="s">
        <v>235</v>
      </c>
      <c r="H72" s="25" t="s">
        <v>236</v>
      </c>
      <c r="I72" s="26">
        <v>45444</v>
      </c>
      <c r="J72" s="26">
        <v>45658</v>
      </c>
      <c r="K72" s="26"/>
      <c r="L72" s="27" t="s">
        <v>32</v>
      </c>
      <c r="M72" s="28" t="s">
        <v>34</v>
      </c>
      <c r="N72" s="103" t="s">
        <v>43</v>
      </c>
      <c r="O72" s="28" t="s">
        <v>55</v>
      </c>
      <c r="P72" s="37" t="s">
        <v>85</v>
      </c>
      <c r="Q72" s="31" t="s">
        <v>45</v>
      </c>
      <c r="R72" s="31" t="s">
        <v>45</v>
      </c>
      <c r="S72" s="32" t="s">
        <v>64</v>
      </c>
      <c r="T72" s="32" t="s">
        <v>85</v>
      </c>
      <c r="U72" s="12" t="str">
        <f t="shared" si="2"/>
        <v>Enterprise ApplicationsKishore Pasumarty</v>
      </c>
      <c r="V72" s="32" t="s">
        <v>85</v>
      </c>
      <c r="W72" s="32" t="s">
        <v>85</v>
      </c>
      <c r="X72" s="32" t="s">
        <v>59</v>
      </c>
      <c r="Y72" s="34"/>
    </row>
    <row r="73" spans="1:25" customFormat="1" ht="28.8" x14ac:dyDescent="0.3">
      <c r="A73" s="133"/>
      <c r="B73" s="20" t="s">
        <v>259</v>
      </c>
      <c r="C73" s="20" t="s">
        <v>260</v>
      </c>
      <c r="D73" s="146" t="s">
        <v>261</v>
      </c>
      <c r="E73" s="33"/>
      <c r="F73" s="18" t="s">
        <v>29</v>
      </c>
      <c r="G73" s="18" t="s">
        <v>235</v>
      </c>
      <c r="H73" s="79" t="s">
        <v>236</v>
      </c>
      <c r="I73" s="80">
        <v>45566</v>
      </c>
      <c r="J73" s="80">
        <v>45889</v>
      </c>
      <c r="K73" s="80"/>
      <c r="L73" s="81" t="s">
        <v>53</v>
      </c>
      <c r="M73" s="82" t="s">
        <v>42</v>
      </c>
      <c r="N73" s="111" t="s">
        <v>73</v>
      </c>
      <c r="O73" s="82" t="s">
        <v>55</v>
      </c>
      <c r="P73" s="112" t="s">
        <v>110</v>
      </c>
      <c r="Q73" s="84" t="s">
        <v>45</v>
      </c>
      <c r="R73" s="84"/>
      <c r="S73" s="85" t="s">
        <v>57</v>
      </c>
      <c r="T73" s="85"/>
      <c r="U73" s="70" t="str">
        <f t="shared" si="2"/>
        <v>Data &amp; Analytics</v>
      </c>
      <c r="V73" s="85" t="s">
        <v>247</v>
      </c>
      <c r="W73" s="85" t="s">
        <v>262</v>
      </c>
      <c r="X73" s="85" t="s">
        <v>59</v>
      </c>
      <c r="Y73" s="86" t="s">
        <v>249</v>
      </c>
    </row>
    <row r="74" spans="1:25" customFormat="1" ht="28.8" x14ac:dyDescent="0.3">
      <c r="A74" s="131"/>
      <c r="B74" s="15" t="s">
        <v>259</v>
      </c>
      <c r="C74" s="59" t="s">
        <v>263</v>
      </c>
      <c r="D74" s="143" t="s">
        <v>264</v>
      </c>
      <c r="E74" s="33"/>
      <c r="F74" s="60" t="s">
        <v>29</v>
      </c>
      <c r="G74" s="61" t="s">
        <v>235</v>
      </c>
      <c r="H74" s="46" t="s">
        <v>236</v>
      </c>
      <c r="I74" s="41"/>
      <c r="J74" s="41">
        <v>45870</v>
      </c>
      <c r="K74" s="41"/>
      <c r="L74" s="42" t="s">
        <v>53</v>
      </c>
      <c r="M74" s="47" t="s">
        <v>42</v>
      </c>
      <c r="N74" s="173" t="s">
        <v>73</v>
      </c>
      <c r="O74" s="47" t="s">
        <v>55</v>
      </c>
      <c r="P74" s="174" t="s">
        <v>110</v>
      </c>
      <c r="Q74" s="44" t="s">
        <v>45</v>
      </c>
      <c r="R74" s="44"/>
      <c r="S74" s="45" t="s">
        <v>57</v>
      </c>
      <c r="T74" s="45"/>
      <c r="U74" s="107" t="str">
        <f t="shared" si="2"/>
        <v>Data &amp; Analytics</v>
      </c>
      <c r="V74" s="45"/>
      <c r="W74" s="2"/>
      <c r="X74" s="2"/>
      <c r="Y74" s="7"/>
    </row>
    <row r="75" spans="1:25" customFormat="1" ht="14.4" x14ac:dyDescent="0.3">
      <c r="A75" s="131"/>
      <c r="B75" s="149" t="s">
        <v>243</v>
      </c>
      <c r="C75" s="23" t="s">
        <v>265</v>
      </c>
      <c r="D75" s="87" t="s">
        <v>245</v>
      </c>
      <c r="E75" s="33"/>
      <c r="F75" s="24" t="s">
        <v>29</v>
      </c>
      <c r="G75" s="24" t="s">
        <v>235</v>
      </c>
      <c r="H75" s="25" t="s">
        <v>236</v>
      </c>
      <c r="I75" s="26"/>
      <c r="J75" s="26">
        <v>45870</v>
      </c>
      <c r="K75" s="26"/>
      <c r="L75" s="27" t="s">
        <v>53</v>
      </c>
      <c r="M75" s="28" t="s">
        <v>34</v>
      </c>
      <c r="N75" s="103" t="s">
        <v>66</v>
      </c>
      <c r="O75" s="28" t="s">
        <v>55</v>
      </c>
      <c r="P75" s="30" t="s">
        <v>246</v>
      </c>
      <c r="Q75" s="31" t="s">
        <v>45</v>
      </c>
      <c r="R75" s="31"/>
      <c r="S75" s="32" t="s">
        <v>57</v>
      </c>
      <c r="T75" s="33"/>
      <c r="U75" s="33" t="str">
        <f t="shared" si="2"/>
        <v>Data &amp; Analytics</v>
      </c>
      <c r="V75" s="32" t="s">
        <v>247</v>
      </c>
      <c r="W75" s="170"/>
      <c r="X75" s="2"/>
      <c r="Y75" s="4"/>
    </row>
    <row r="76" spans="1:25" customFormat="1" ht="14.4" x14ac:dyDescent="0.3">
      <c r="A76" s="22"/>
      <c r="B76" s="113" t="s">
        <v>266</v>
      </c>
      <c r="C76" s="23" t="s">
        <v>267</v>
      </c>
      <c r="D76" s="87" t="s">
        <v>268</v>
      </c>
      <c r="E76" s="33"/>
      <c r="F76" s="24" t="s">
        <v>89</v>
      </c>
      <c r="G76" s="24" t="s">
        <v>235</v>
      </c>
      <c r="H76" s="25" t="s">
        <v>236</v>
      </c>
      <c r="I76" s="26">
        <v>45566</v>
      </c>
      <c r="J76" s="26">
        <v>45900</v>
      </c>
      <c r="K76" s="26">
        <v>45901</v>
      </c>
      <c r="L76" s="27" t="s">
        <v>109</v>
      </c>
      <c r="M76" s="28" t="s">
        <v>34</v>
      </c>
      <c r="N76" s="103" t="s">
        <v>170</v>
      </c>
      <c r="O76" s="159" t="s">
        <v>55</v>
      </c>
      <c r="P76" s="30" t="s">
        <v>175</v>
      </c>
      <c r="Q76" s="31" t="s">
        <v>45</v>
      </c>
      <c r="R76" s="160"/>
      <c r="S76" s="32" t="s">
        <v>57</v>
      </c>
      <c r="T76" s="32"/>
      <c r="U76" s="33" t="str">
        <f t="shared" si="2"/>
        <v>Data &amp; Analytics</v>
      </c>
      <c r="V76" s="32" t="s">
        <v>247</v>
      </c>
      <c r="W76" s="170" t="s">
        <v>269</v>
      </c>
      <c r="X76" s="2" t="s">
        <v>59</v>
      </c>
      <c r="Y76" s="4" t="s">
        <v>249</v>
      </c>
    </row>
    <row r="77" spans="1:25" customFormat="1" ht="14.4" x14ac:dyDescent="0.3">
      <c r="A77" s="22"/>
      <c r="B77" s="113" t="s">
        <v>266</v>
      </c>
      <c r="C77" s="23" t="s">
        <v>270</v>
      </c>
      <c r="D77" s="87" t="s">
        <v>271</v>
      </c>
      <c r="E77" s="33"/>
      <c r="F77" s="24" t="s">
        <v>89</v>
      </c>
      <c r="G77" s="24" t="s">
        <v>235</v>
      </c>
      <c r="H77" s="25" t="s">
        <v>236</v>
      </c>
      <c r="I77" s="26"/>
      <c r="J77" s="26">
        <v>45870</v>
      </c>
      <c r="K77" s="26">
        <v>45901</v>
      </c>
      <c r="L77" s="27" t="s">
        <v>109</v>
      </c>
      <c r="M77" s="28" t="s">
        <v>42</v>
      </c>
      <c r="N77" s="103" t="s">
        <v>170</v>
      </c>
      <c r="O77" s="159" t="s">
        <v>55</v>
      </c>
      <c r="P77" s="30" t="s">
        <v>175</v>
      </c>
      <c r="Q77" s="31" t="s">
        <v>45</v>
      </c>
      <c r="R77" s="160"/>
      <c r="S77" s="32" t="s">
        <v>57</v>
      </c>
      <c r="T77" s="32"/>
      <c r="U77" s="33" t="str">
        <f t="shared" si="2"/>
        <v>Data &amp; Analytics</v>
      </c>
      <c r="V77" s="32" t="s">
        <v>247</v>
      </c>
      <c r="W77" s="170" t="s">
        <v>269</v>
      </c>
      <c r="X77" s="2"/>
      <c r="Y77" s="7"/>
    </row>
    <row r="78" spans="1:25" customFormat="1" ht="14.4" x14ac:dyDescent="0.3">
      <c r="A78" s="22"/>
      <c r="B78" s="113" t="s">
        <v>266</v>
      </c>
      <c r="C78" s="23" t="s">
        <v>272</v>
      </c>
      <c r="D78" s="87" t="s">
        <v>273</v>
      </c>
      <c r="E78" s="33"/>
      <c r="F78" s="24" t="s">
        <v>29</v>
      </c>
      <c r="G78" s="24" t="s">
        <v>235</v>
      </c>
      <c r="H78" s="25" t="s">
        <v>236</v>
      </c>
      <c r="I78" s="26"/>
      <c r="J78" s="26">
        <v>45925</v>
      </c>
      <c r="K78" s="26"/>
      <c r="L78" s="27" t="s">
        <v>53</v>
      </c>
      <c r="M78" s="28" t="s">
        <v>42</v>
      </c>
      <c r="N78" s="103" t="s">
        <v>170</v>
      </c>
      <c r="O78" s="159" t="s">
        <v>55</v>
      </c>
      <c r="P78" s="30" t="s">
        <v>175</v>
      </c>
      <c r="Q78" s="31" t="s">
        <v>45</v>
      </c>
      <c r="R78" s="160"/>
      <c r="S78" s="32" t="s">
        <v>57</v>
      </c>
      <c r="T78" s="32"/>
      <c r="U78" s="33" t="str">
        <f t="shared" si="2"/>
        <v>Data &amp; Analytics</v>
      </c>
      <c r="V78" s="32" t="s">
        <v>247</v>
      </c>
      <c r="W78" s="170" t="s">
        <v>274</v>
      </c>
      <c r="X78" s="2"/>
      <c r="Y78" s="7"/>
    </row>
    <row r="79" spans="1:25" customFormat="1" ht="15" customHeight="1" x14ac:dyDescent="0.3">
      <c r="A79" s="22"/>
      <c r="B79" s="113" t="s">
        <v>275</v>
      </c>
      <c r="C79" s="23" t="s">
        <v>276</v>
      </c>
      <c r="D79" s="87" t="s">
        <v>277</v>
      </c>
      <c r="E79" s="33"/>
      <c r="F79" s="24" t="s">
        <v>29</v>
      </c>
      <c r="G79" s="24" t="s">
        <v>235</v>
      </c>
      <c r="H79" s="25" t="s">
        <v>236</v>
      </c>
      <c r="I79" s="26">
        <v>45566</v>
      </c>
      <c r="J79" s="26">
        <v>45870</v>
      </c>
      <c r="K79" s="26"/>
      <c r="L79" s="27" t="s">
        <v>53</v>
      </c>
      <c r="M79" s="28" t="s">
        <v>42</v>
      </c>
      <c r="N79" s="103" t="s">
        <v>54</v>
      </c>
      <c r="O79" s="28" t="s">
        <v>55</v>
      </c>
      <c r="P79" s="37" t="s">
        <v>278</v>
      </c>
      <c r="Q79" s="31" t="s">
        <v>45</v>
      </c>
      <c r="R79" s="31" t="s">
        <v>48</v>
      </c>
      <c r="S79" s="32" t="s">
        <v>28</v>
      </c>
      <c r="T79" s="32"/>
      <c r="U79" s="33" t="str">
        <f t="shared" si="2"/>
        <v>Technology Enablement &amp; Transformation</v>
      </c>
      <c r="V79" s="32" t="s">
        <v>36</v>
      </c>
      <c r="W79" s="171" t="s">
        <v>47</v>
      </c>
      <c r="X79" s="32" t="s">
        <v>59</v>
      </c>
      <c r="Y79" s="34"/>
    </row>
    <row r="80" spans="1:25" customFormat="1" ht="15" customHeight="1" x14ac:dyDescent="0.3">
      <c r="A80" s="22"/>
      <c r="B80" s="169" t="s">
        <v>279</v>
      </c>
      <c r="C80" s="158" t="s">
        <v>280</v>
      </c>
      <c r="D80" s="158" t="s">
        <v>281</v>
      </c>
      <c r="E80" s="33"/>
      <c r="F80" s="161" t="s">
        <v>29</v>
      </c>
      <c r="G80" s="162" t="s">
        <v>235</v>
      </c>
      <c r="H80" s="72" t="s">
        <v>236</v>
      </c>
      <c r="I80" s="21"/>
      <c r="J80" s="163">
        <v>46016</v>
      </c>
      <c r="K80" s="163"/>
      <c r="L80" s="164" t="s">
        <v>53</v>
      </c>
      <c r="M80" s="165" t="s">
        <v>282</v>
      </c>
      <c r="N80" s="177" t="s">
        <v>54</v>
      </c>
      <c r="O80" s="28" t="s">
        <v>55</v>
      </c>
      <c r="P80" s="166" t="s">
        <v>283</v>
      </c>
      <c r="Q80" s="73" t="s">
        <v>45</v>
      </c>
      <c r="R80" s="74" t="s">
        <v>48</v>
      </c>
      <c r="S80" s="167" t="s">
        <v>28</v>
      </c>
      <c r="T80" s="168" t="s">
        <v>28</v>
      </c>
      <c r="U80" s="33" t="str">
        <f>_xlfn.CONCAT(T80:T80)</f>
        <v>Technology Enablement &amp; Transformation</v>
      </c>
      <c r="V80" s="167" t="s">
        <v>284</v>
      </c>
      <c r="W80" s="109"/>
    </row>
    <row r="81" spans="1:25" customFormat="1" ht="14.4" x14ac:dyDescent="0.3">
      <c r="A81" s="22"/>
      <c r="B81" s="113" t="s">
        <v>133</v>
      </c>
      <c r="C81" s="23" t="s">
        <v>285</v>
      </c>
      <c r="D81" s="87" t="s">
        <v>286</v>
      </c>
      <c r="E81" s="33"/>
      <c r="F81" s="24" t="s">
        <v>89</v>
      </c>
      <c r="G81" s="24" t="s">
        <v>235</v>
      </c>
      <c r="H81" s="25" t="s">
        <v>236</v>
      </c>
      <c r="I81" s="26"/>
      <c r="J81" s="26">
        <v>45962</v>
      </c>
      <c r="K81" s="26">
        <v>46073</v>
      </c>
      <c r="L81" s="27" t="s">
        <v>53</v>
      </c>
      <c r="M81" s="28" t="s">
        <v>34</v>
      </c>
      <c r="N81" s="103" t="s">
        <v>136</v>
      </c>
      <c r="O81" s="28" t="s">
        <v>55</v>
      </c>
      <c r="P81" s="37" t="s">
        <v>287</v>
      </c>
      <c r="Q81" s="31" t="s">
        <v>45</v>
      </c>
      <c r="R81" s="31" t="s">
        <v>35</v>
      </c>
      <c r="S81" s="32" t="s">
        <v>64</v>
      </c>
      <c r="T81" s="32" t="s">
        <v>34</v>
      </c>
      <c r="U81" s="33" t="str">
        <f t="shared" si="2"/>
        <v>Enterprise ApplicationsAll</v>
      </c>
      <c r="V81" s="32" t="s">
        <v>130</v>
      </c>
      <c r="W81" s="172" t="s">
        <v>288</v>
      </c>
      <c r="X81" s="85"/>
      <c r="Y81" s="86"/>
    </row>
    <row r="82" spans="1:25" customFormat="1" ht="43.2" x14ac:dyDescent="0.3">
      <c r="A82" s="22"/>
      <c r="B82" s="113" t="s">
        <v>289</v>
      </c>
      <c r="C82" s="23" t="s">
        <v>290</v>
      </c>
      <c r="D82" s="87" t="s">
        <v>291</v>
      </c>
      <c r="E82" s="33"/>
      <c r="F82" s="24" t="s">
        <v>29</v>
      </c>
      <c r="G82" s="24" t="s">
        <v>235</v>
      </c>
      <c r="H82" s="25" t="s">
        <v>236</v>
      </c>
      <c r="I82" s="26">
        <v>45717</v>
      </c>
      <c r="J82" s="26">
        <v>46022</v>
      </c>
      <c r="K82" s="26"/>
      <c r="L82" s="27" t="s">
        <v>53</v>
      </c>
      <c r="M82" s="28" t="s">
        <v>34</v>
      </c>
      <c r="N82" s="103" t="s">
        <v>292</v>
      </c>
      <c r="O82" s="28" t="s">
        <v>55</v>
      </c>
      <c r="P82" s="37" t="s">
        <v>293</v>
      </c>
      <c r="Q82" s="31" t="s">
        <v>45</v>
      </c>
      <c r="R82" s="31" t="s">
        <v>45</v>
      </c>
      <c r="S82" s="32" t="s">
        <v>64</v>
      </c>
      <c r="T82" s="32" t="s">
        <v>294</v>
      </c>
      <c r="U82" s="33" t="str">
        <f t="shared" si="2"/>
        <v>Enterprise ApplicationsBrittany Lyons, Sharath Kumar</v>
      </c>
      <c r="V82" s="32" t="s">
        <v>295</v>
      </c>
      <c r="W82" s="155" t="s">
        <v>296</v>
      </c>
      <c r="X82" s="45" t="s">
        <v>59</v>
      </c>
      <c r="Y82" s="7" t="s">
        <v>297</v>
      </c>
    </row>
    <row r="83" spans="1:25" customFormat="1" ht="28.8" x14ac:dyDescent="0.3">
      <c r="A83" s="22"/>
      <c r="B83" s="23" t="s">
        <v>78</v>
      </c>
      <c r="C83" s="110" t="s">
        <v>298</v>
      </c>
      <c r="D83" s="115" t="s">
        <v>299</v>
      </c>
      <c r="E83" s="33"/>
      <c r="F83" s="140" t="s">
        <v>29</v>
      </c>
      <c r="G83" s="140" t="s">
        <v>235</v>
      </c>
      <c r="H83" s="62" t="s">
        <v>236</v>
      </c>
      <c r="I83" s="63">
        <v>45658</v>
      </c>
      <c r="J83" s="63">
        <v>46054</v>
      </c>
      <c r="K83" s="63"/>
      <c r="L83" s="64" t="s">
        <v>32</v>
      </c>
      <c r="M83" s="65" t="s">
        <v>34</v>
      </c>
      <c r="N83" s="124" t="s">
        <v>34</v>
      </c>
      <c r="O83" s="65" t="s">
        <v>55</v>
      </c>
      <c r="P83" s="66" t="s">
        <v>84</v>
      </c>
      <c r="Q83" s="67" t="s">
        <v>35</v>
      </c>
      <c r="R83" s="67" t="s">
        <v>48</v>
      </c>
      <c r="S83" s="68" t="s">
        <v>64</v>
      </c>
      <c r="T83" s="68" t="s">
        <v>64</v>
      </c>
      <c r="U83" s="116" t="str">
        <f t="shared" si="2"/>
        <v>Enterprise ApplicationsEnterprise Applications</v>
      </c>
      <c r="V83" s="68" t="s">
        <v>85</v>
      </c>
      <c r="W83" s="156" t="s">
        <v>84</v>
      </c>
      <c r="X83" s="68" t="s">
        <v>81</v>
      </c>
      <c r="Y83" s="71"/>
    </row>
    <row r="84" spans="1:25" customFormat="1" ht="28.8" x14ac:dyDescent="0.3">
      <c r="A84" s="157"/>
      <c r="B84" s="20" t="s">
        <v>78</v>
      </c>
      <c r="C84" s="20" t="s">
        <v>300</v>
      </c>
      <c r="D84" s="20" t="s">
        <v>301</v>
      </c>
      <c r="E84" s="33"/>
      <c r="F84" s="18" t="s">
        <v>29</v>
      </c>
      <c r="G84" s="18" t="s">
        <v>235</v>
      </c>
      <c r="H84" s="79" t="s">
        <v>236</v>
      </c>
      <c r="I84" s="80"/>
      <c r="J84" s="80">
        <v>46023</v>
      </c>
      <c r="K84" s="80">
        <v>46023</v>
      </c>
      <c r="L84" s="81" t="s">
        <v>32</v>
      </c>
      <c r="M84" s="82" t="s">
        <v>34</v>
      </c>
      <c r="N84" s="111" t="s">
        <v>66</v>
      </c>
      <c r="O84" s="82"/>
      <c r="P84" s="83" t="s">
        <v>302</v>
      </c>
      <c r="Q84" s="84" t="s">
        <v>35</v>
      </c>
      <c r="R84" s="84" t="s">
        <v>48</v>
      </c>
      <c r="S84" s="85" t="s">
        <v>64</v>
      </c>
      <c r="T84" s="85" t="s">
        <v>64</v>
      </c>
      <c r="U84" s="70" t="str">
        <f t="shared" si="2"/>
        <v>Enterprise ApplicationsEnterprise Applications</v>
      </c>
      <c r="V84" s="85" t="s">
        <v>68</v>
      </c>
      <c r="W84" s="2" t="s">
        <v>303</v>
      </c>
      <c r="X84" s="2"/>
      <c r="Y84" s="4"/>
    </row>
    <row r="85" spans="1:25" customFormat="1" ht="28.8" x14ac:dyDescent="0.3">
      <c r="A85" s="8"/>
      <c r="B85" s="59" t="s">
        <v>133</v>
      </c>
      <c r="C85" s="59" t="s">
        <v>304</v>
      </c>
      <c r="D85" s="143" t="s">
        <v>286</v>
      </c>
      <c r="E85" s="33"/>
      <c r="F85" s="60" t="s">
        <v>89</v>
      </c>
      <c r="G85" s="61" t="s">
        <v>235</v>
      </c>
      <c r="H85" s="46" t="s">
        <v>236</v>
      </c>
      <c r="I85" s="41"/>
      <c r="J85" s="41">
        <v>46054</v>
      </c>
      <c r="K85" s="41">
        <v>46023</v>
      </c>
      <c r="L85" s="42" t="s">
        <v>53</v>
      </c>
      <c r="M85" s="47" t="s">
        <v>34</v>
      </c>
      <c r="N85" s="173" t="s">
        <v>136</v>
      </c>
      <c r="O85" s="47" t="s">
        <v>55</v>
      </c>
      <c r="P85" s="43" t="s">
        <v>287</v>
      </c>
      <c r="Q85" s="44" t="s">
        <v>45</v>
      </c>
      <c r="R85" s="44" t="s">
        <v>45</v>
      </c>
      <c r="S85" s="45" t="s">
        <v>64</v>
      </c>
      <c r="T85" s="45" t="s">
        <v>64</v>
      </c>
      <c r="U85" s="107" t="str">
        <f t="shared" si="2"/>
        <v>Enterprise ApplicationsEnterprise Applications</v>
      </c>
      <c r="V85" s="45" t="s">
        <v>130</v>
      </c>
      <c r="W85" s="45" t="s">
        <v>288</v>
      </c>
      <c r="X85" s="45"/>
      <c r="Y85" s="7"/>
    </row>
    <row r="86" spans="1:25" ht="28.8" x14ac:dyDescent="0.3">
      <c r="A86" s="22"/>
      <c r="B86" s="23" t="s">
        <v>133</v>
      </c>
      <c r="C86" s="23" t="s">
        <v>305</v>
      </c>
      <c r="D86" s="23" t="s">
        <v>306</v>
      </c>
      <c r="E86" s="33"/>
      <c r="F86" s="24" t="s">
        <v>89</v>
      </c>
      <c r="G86" s="24" t="s">
        <v>235</v>
      </c>
      <c r="H86" s="25" t="s">
        <v>236</v>
      </c>
      <c r="I86" s="26"/>
      <c r="J86" s="26">
        <v>45931</v>
      </c>
      <c r="K86" s="26">
        <v>46082</v>
      </c>
      <c r="L86" s="27" t="s">
        <v>53</v>
      </c>
      <c r="M86" s="28" t="s">
        <v>34</v>
      </c>
      <c r="N86" s="103" t="s">
        <v>136</v>
      </c>
      <c r="O86" s="28" t="s">
        <v>55</v>
      </c>
      <c r="P86" s="37" t="s">
        <v>307</v>
      </c>
      <c r="Q86" s="31" t="s">
        <v>45</v>
      </c>
      <c r="R86" s="31" t="s">
        <v>45</v>
      </c>
      <c r="S86" s="32" t="s">
        <v>64</v>
      </c>
      <c r="T86" s="32" t="s">
        <v>64</v>
      </c>
      <c r="U86" s="33" t="str">
        <f t="shared" si="2"/>
        <v>Enterprise ApplicationsEnterprise Applications</v>
      </c>
      <c r="V86" s="32" t="s">
        <v>308</v>
      </c>
      <c r="W86" s="32" t="s">
        <v>309</v>
      </c>
      <c r="X86" s="32"/>
      <c r="Y86" s="34"/>
    </row>
    <row r="87" spans="1:25" customFormat="1" ht="43.2" x14ac:dyDescent="0.3">
      <c r="A87" s="69"/>
      <c r="B87" s="20" t="s">
        <v>289</v>
      </c>
      <c r="C87" s="20" t="s">
        <v>310</v>
      </c>
      <c r="D87" s="147" t="s">
        <v>311</v>
      </c>
      <c r="E87" s="33"/>
      <c r="F87" s="18" t="s">
        <v>89</v>
      </c>
      <c r="G87" s="40" t="s">
        <v>235</v>
      </c>
      <c r="H87" s="62" t="s">
        <v>31</v>
      </c>
      <c r="I87" s="63"/>
      <c r="J87" s="63">
        <v>45992</v>
      </c>
      <c r="K87" s="63">
        <v>46388</v>
      </c>
      <c r="L87" s="64" t="s">
        <v>53</v>
      </c>
      <c r="M87" s="65" t="s">
        <v>34</v>
      </c>
      <c r="N87" s="124" t="s">
        <v>292</v>
      </c>
      <c r="O87" s="65" t="s">
        <v>55</v>
      </c>
      <c r="P87" s="66" t="s">
        <v>293</v>
      </c>
      <c r="Q87" s="67" t="s">
        <v>35</v>
      </c>
      <c r="R87" s="67" t="s">
        <v>35</v>
      </c>
      <c r="S87" s="68" t="s">
        <v>64</v>
      </c>
      <c r="T87" s="68" t="s">
        <v>64</v>
      </c>
      <c r="U87" s="70" t="str">
        <f t="shared" ref="U87:U92" si="3">_xlfn.CONCAT(S87:T87)</f>
        <v>Enterprise ApplicationsEnterprise Applications</v>
      </c>
      <c r="V87" s="68" t="s">
        <v>312</v>
      </c>
      <c r="W87" s="68" t="s">
        <v>313</v>
      </c>
      <c r="X87" s="68"/>
      <c r="Y87" s="71"/>
    </row>
    <row r="88" spans="1:25" ht="14.4" x14ac:dyDescent="0.3">
      <c r="A88" s="129"/>
      <c r="B88" s="23" t="s">
        <v>133</v>
      </c>
      <c r="C88" s="23" t="s">
        <v>314</v>
      </c>
      <c r="D88" s="87" t="s">
        <v>286</v>
      </c>
      <c r="E88" s="33"/>
      <c r="F88" s="114" t="s">
        <v>89</v>
      </c>
      <c r="G88" s="24" t="s">
        <v>235</v>
      </c>
      <c r="H88" s="25" t="s">
        <v>236</v>
      </c>
      <c r="I88" s="26">
        <v>45323</v>
      </c>
      <c r="J88" s="26">
        <v>45901</v>
      </c>
      <c r="K88" s="26">
        <v>45901</v>
      </c>
      <c r="L88" s="27" t="s">
        <v>53</v>
      </c>
      <c r="M88" s="28" t="s">
        <v>34</v>
      </c>
      <c r="N88" s="103" t="s">
        <v>136</v>
      </c>
      <c r="O88" s="28" t="s">
        <v>55</v>
      </c>
      <c r="P88" s="37" t="s">
        <v>287</v>
      </c>
      <c r="Q88" s="31" t="s">
        <v>45</v>
      </c>
      <c r="R88" s="31" t="s">
        <v>45</v>
      </c>
      <c r="S88" s="32" t="s">
        <v>64</v>
      </c>
      <c r="T88" s="32" t="s">
        <v>34</v>
      </c>
      <c r="U88" s="33" t="str">
        <f t="shared" si="3"/>
        <v>Enterprise ApplicationsAll</v>
      </c>
      <c r="V88" s="32" t="s">
        <v>130</v>
      </c>
      <c r="W88" s="32" t="s">
        <v>288</v>
      </c>
      <c r="X88" s="32" t="s">
        <v>138</v>
      </c>
      <c r="Y88" s="34" t="s">
        <v>315</v>
      </c>
    </row>
    <row r="89" spans="1:25" ht="43.2" x14ac:dyDescent="0.3">
      <c r="A89" s="129"/>
      <c r="B89" s="23" t="s">
        <v>316</v>
      </c>
      <c r="C89" s="23" t="s">
        <v>317</v>
      </c>
      <c r="D89" s="23" t="s">
        <v>318</v>
      </c>
      <c r="E89" s="33"/>
      <c r="F89" s="114" t="s">
        <v>89</v>
      </c>
      <c r="G89" s="24" t="s">
        <v>235</v>
      </c>
      <c r="H89" s="25" t="s">
        <v>236</v>
      </c>
      <c r="I89" s="26"/>
      <c r="J89" s="26">
        <v>45931</v>
      </c>
      <c r="K89" s="26">
        <v>46016</v>
      </c>
      <c r="L89" s="27" t="s">
        <v>53</v>
      </c>
      <c r="M89" s="28" t="s">
        <v>34</v>
      </c>
      <c r="N89" s="103" t="s">
        <v>292</v>
      </c>
      <c r="O89" s="28" t="s">
        <v>55</v>
      </c>
      <c r="P89" s="37" t="s">
        <v>293</v>
      </c>
      <c r="Q89" s="31" t="s">
        <v>45</v>
      </c>
      <c r="R89" s="31" t="s">
        <v>45</v>
      </c>
      <c r="S89" s="32" t="s">
        <v>64</v>
      </c>
      <c r="T89" s="32" t="s">
        <v>319</v>
      </c>
      <c r="U89" s="33" t="str">
        <f t="shared" si="3"/>
        <v>Enterprise ApplicationsSharath Kumar, Data &amp; Analytics</v>
      </c>
      <c r="V89" s="32" t="s">
        <v>308</v>
      </c>
      <c r="W89" s="32" t="s">
        <v>320</v>
      </c>
      <c r="X89" s="32"/>
      <c r="Y89" s="34"/>
    </row>
    <row r="90" spans="1:25" ht="43.2" x14ac:dyDescent="0.3">
      <c r="A90" s="129"/>
      <c r="B90" s="23" t="s">
        <v>256</v>
      </c>
      <c r="C90" s="23" t="s">
        <v>321</v>
      </c>
      <c r="D90" s="23" t="s">
        <v>321</v>
      </c>
      <c r="E90" s="33"/>
      <c r="F90" s="24" t="s">
        <v>29</v>
      </c>
      <c r="G90" s="24" t="s">
        <v>235</v>
      </c>
      <c r="H90" s="25" t="s">
        <v>322</v>
      </c>
      <c r="I90" s="26" t="s">
        <v>323</v>
      </c>
      <c r="J90" s="26" t="s">
        <v>323</v>
      </c>
      <c r="K90" s="26"/>
      <c r="L90" s="27" t="s">
        <v>109</v>
      </c>
      <c r="M90" s="28" t="s">
        <v>34</v>
      </c>
      <c r="N90" s="103" t="s">
        <v>34</v>
      </c>
      <c r="O90" s="28" t="s">
        <v>55</v>
      </c>
      <c r="P90" s="37" t="s">
        <v>324</v>
      </c>
      <c r="Q90" s="31" t="s">
        <v>45</v>
      </c>
      <c r="R90" s="31" t="s">
        <v>45</v>
      </c>
      <c r="S90" s="32" t="s">
        <v>64</v>
      </c>
      <c r="T90" s="32" t="s">
        <v>325</v>
      </c>
      <c r="U90" s="33" t="str">
        <f t="shared" si="3"/>
        <v>Enterprise ApplicationsMahesh Acholkar, Vikas Goli, Hemant Bissa</v>
      </c>
      <c r="V90" s="32" t="s">
        <v>101</v>
      </c>
      <c r="W90" s="32" t="s">
        <v>324</v>
      </c>
      <c r="X90" s="32" t="s">
        <v>59</v>
      </c>
      <c r="Y90" s="34" t="s">
        <v>326</v>
      </c>
    </row>
    <row r="91" spans="1:25" ht="28.8" x14ac:dyDescent="0.3">
      <c r="A91" s="129"/>
      <c r="B91" s="23" t="s">
        <v>327</v>
      </c>
      <c r="C91" s="23" t="s">
        <v>328</v>
      </c>
      <c r="D91" s="23" t="s">
        <v>329</v>
      </c>
      <c r="E91" s="33"/>
      <c r="F91" s="96" t="s">
        <v>29</v>
      </c>
      <c r="G91" s="24" t="s">
        <v>235</v>
      </c>
      <c r="H91" s="25" t="s">
        <v>236</v>
      </c>
      <c r="I91" s="26"/>
      <c r="J91" s="26">
        <v>46082</v>
      </c>
      <c r="K91" s="26"/>
      <c r="L91" s="27" t="s">
        <v>32</v>
      </c>
      <c r="M91" s="28" t="s">
        <v>34</v>
      </c>
      <c r="N91" s="103" t="s">
        <v>66</v>
      </c>
      <c r="O91" s="28"/>
      <c r="P91" s="37" t="s">
        <v>330</v>
      </c>
      <c r="Q91" s="31" t="s">
        <v>45</v>
      </c>
      <c r="R91" s="31" t="s">
        <v>48</v>
      </c>
      <c r="S91" s="32" t="s">
        <v>64</v>
      </c>
      <c r="T91" s="32" t="s">
        <v>64</v>
      </c>
      <c r="U91" s="33" t="str">
        <f t="shared" si="3"/>
        <v>Enterprise ApplicationsEnterprise Applications</v>
      </c>
      <c r="V91" s="32" t="s">
        <v>92</v>
      </c>
      <c r="W91" s="32"/>
      <c r="X91" s="32"/>
      <c r="Y91" s="34"/>
    </row>
    <row r="92" spans="1:25" ht="28.8" x14ac:dyDescent="0.3">
      <c r="A92" s="129"/>
      <c r="B92" s="23" t="s">
        <v>140</v>
      </c>
      <c r="C92" s="23" t="s">
        <v>331</v>
      </c>
      <c r="D92" s="23" t="s">
        <v>331</v>
      </c>
      <c r="E92" s="33"/>
      <c r="F92" s="24" t="s">
        <v>29</v>
      </c>
      <c r="G92" s="24" t="s">
        <v>235</v>
      </c>
      <c r="H92" s="25" t="s">
        <v>322</v>
      </c>
      <c r="I92" s="26">
        <v>45658</v>
      </c>
      <c r="J92" s="26" t="s">
        <v>323</v>
      </c>
      <c r="K92" s="26"/>
      <c r="L92" s="27" t="s">
        <v>53</v>
      </c>
      <c r="M92" s="28" t="s">
        <v>34</v>
      </c>
      <c r="N92" s="103" t="s">
        <v>43</v>
      </c>
      <c r="O92" s="28" t="s">
        <v>55</v>
      </c>
      <c r="P92" s="37" t="s">
        <v>85</v>
      </c>
      <c r="Q92" s="31" t="s">
        <v>45</v>
      </c>
      <c r="R92" s="31" t="s">
        <v>45</v>
      </c>
      <c r="S92" s="32" t="s">
        <v>64</v>
      </c>
      <c r="T92" s="32" t="s">
        <v>85</v>
      </c>
      <c r="U92" s="33" t="str">
        <f t="shared" si="3"/>
        <v>Enterprise ApplicationsKishore Pasumarty</v>
      </c>
      <c r="V92" s="32" t="s">
        <v>85</v>
      </c>
      <c r="W92" s="32" t="s">
        <v>332</v>
      </c>
      <c r="X92" s="32" t="s">
        <v>59</v>
      </c>
      <c r="Y92" s="34"/>
    </row>
    <row r="93" spans="1:25" ht="28.8" x14ac:dyDescent="0.3">
      <c r="A93" s="22"/>
      <c r="B93" s="23" t="s">
        <v>78</v>
      </c>
      <c r="C93" s="23" t="s">
        <v>333</v>
      </c>
      <c r="D93" s="87" t="s">
        <v>334</v>
      </c>
      <c r="E93" s="33"/>
      <c r="F93" s="96" t="s">
        <v>29</v>
      </c>
      <c r="G93" s="24" t="s">
        <v>235</v>
      </c>
      <c r="H93" s="25" t="s">
        <v>236</v>
      </c>
      <c r="I93" s="26"/>
      <c r="J93" s="26">
        <v>46079</v>
      </c>
      <c r="K93" s="26">
        <v>46082</v>
      </c>
      <c r="L93" s="27" t="s">
        <v>32</v>
      </c>
      <c r="M93" s="28" t="s">
        <v>34</v>
      </c>
      <c r="N93" s="103" t="s">
        <v>136</v>
      </c>
      <c r="O93" s="28"/>
      <c r="P93" s="37" t="s">
        <v>335</v>
      </c>
      <c r="Q93" s="31" t="s">
        <v>48</v>
      </c>
      <c r="R93" s="31" t="s">
        <v>48</v>
      </c>
      <c r="S93" s="32" t="s">
        <v>203</v>
      </c>
      <c r="T93" s="32" t="s">
        <v>336</v>
      </c>
      <c r="U93" s="33" t="str">
        <f t="shared" ref="U93:U103" si="4">_xlfn.CONCAT(S93:T93)</f>
        <v>GEV HQData &amp; Analytics; Enterprise Applications</v>
      </c>
      <c r="V93" s="32" t="s">
        <v>113</v>
      </c>
      <c r="W93" s="32"/>
      <c r="X93" s="32"/>
      <c r="Y93" s="34"/>
    </row>
    <row r="94" spans="1:25" ht="14.4" x14ac:dyDescent="0.3">
      <c r="A94" s="129"/>
      <c r="B94" s="23" t="s">
        <v>266</v>
      </c>
      <c r="C94" s="23" t="s">
        <v>337</v>
      </c>
      <c r="D94" s="87" t="s">
        <v>338</v>
      </c>
      <c r="E94" s="33"/>
      <c r="F94" s="24" t="s">
        <v>29</v>
      </c>
      <c r="G94" s="24" t="s">
        <v>235</v>
      </c>
      <c r="H94" s="25" t="s">
        <v>236</v>
      </c>
      <c r="I94" s="26"/>
      <c r="J94" s="26">
        <v>46016</v>
      </c>
      <c r="K94" s="26"/>
      <c r="L94" s="27" t="s">
        <v>53</v>
      </c>
      <c r="M94" s="28" t="s">
        <v>42</v>
      </c>
      <c r="N94" s="103" t="s">
        <v>170</v>
      </c>
      <c r="O94" s="28" t="s">
        <v>55</v>
      </c>
      <c r="P94" s="37" t="s">
        <v>175</v>
      </c>
      <c r="Q94" s="31" t="s">
        <v>45</v>
      </c>
      <c r="R94" s="31"/>
      <c r="S94" s="32" t="s">
        <v>57</v>
      </c>
      <c r="T94" s="32" t="s">
        <v>57</v>
      </c>
      <c r="U94" s="33" t="str">
        <f t="shared" si="4"/>
        <v>Data &amp; AnalyticsData &amp; Analytics</v>
      </c>
      <c r="V94" s="32"/>
      <c r="W94" s="32"/>
      <c r="X94" s="32"/>
      <c r="Y94" s="34"/>
    </row>
    <row r="95" spans="1:25" ht="14.4" x14ac:dyDescent="0.3">
      <c r="A95" s="129"/>
      <c r="B95" s="23" t="s">
        <v>339</v>
      </c>
      <c r="C95" s="23" t="s">
        <v>339</v>
      </c>
      <c r="D95" s="87" t="s">
        <v>340</v>
      </c>
      <c r="E95" s="33"/>
      <c r="F95" s="24" t="s">
        <v>29</v>
      </c>
      <c r="G95" s="24" t="s">
        <v>235</v>
      </c>
      <c r="H95" s="25" t="s">
        <v>236</v>
      </c>
      <c r="I95" s="26"/>
      <c r="J95" s="26">
        <v>46079</v>
      </c>
      <c r="K95" s="26"/>
      <c r="L95" s="27" t="s">
        <v>32</v>
      </c>
      <c r="M95" s="28" t="s">
        <v>34</v>
      </c>
      <c r="N95" s="103" t="s">
        <v>136</v>
      </c>
      <c r="O95" s="28"/>
      <c r="P95" s="37" t="s">
        <v>335</v>
      </c>
      <c r="Q95" s="31"/>
      <c r="R95" s="31"/>
      <c r="S95" s="32" t="s">
        <v>203</v>
      </c>
      <c r="T95" s="32"/>
      <c r="U95" s="33" t="str">
        <f t="shared" si="4"/>
        <v>GEV HQ</v>
      </c>
      <c r="V95" s="32" t="s">
        <v>341</v>
      </c>
      <c r="W95" s="32"/>
      <c r="X95" s="32"/>
      <c r="Y95" s="34"/>
    </row>
    <row r="96" spans="1:25" ht="28.8" x14ac:dyDescent="0.3">
      <c r="A96" s="129"/>
      <c r="B96" s="23" t="s">
        <v>78</v>
      </c>
      <c r="C96" s="23" t="s">
        <v>342</v>
      </c>
      <c r="D96" s="23" t="s">
        <v>343</v>
      </c>
      <c r="E96" s="33"/>
      <c r="F96" s="24" t="s">
        <v>29</v>
      </c>
      <c r="G96" s="24" t="s">
        <v>235</v>
      </c>
      <c r="H96" s="25" t="s">
        <v>236</v>
      </c>
      <c r="I96" s="26"/>
      <c r="J96" s="26">
        <v>46113</v>
      </c>
      <c r="K96" s="26"/>
      <c r="L96" s="27" t="s">
        <v>32</v>
      </c>
      <c r="M96" s="28" t="s">
        <v>34</v>
      </c>
      <c r="N96" s="103" t="s">
        <v>66</v>
      </c>
      <c r="O96" s="28"/>
      <c r="P96" s="37" t="s">
        <v>344</v>
      </c>
      <c r="Q96" s="31" t="s">
        <v>45</v>
      </c>
      <c r="R96" s="31" t="s">
        <v>48</v>
      </c>
      <c r="S96" s="32" t="s">
        <v>91</v>
      </c>
      <c r="T96" s="32" t="s">
        <v>91</v>
      </c>
      <c r="U96" s="33" t="str">
        <f t="shared" si="4"/>
        <v>Digitization ProgramsDigitization Programs</v>
      </c>
      <c r="V96" s="32" t="s">
        <v>92</v>
      </c>
      <c r="W96" s="32" t="s">
        <v>344</v>
      </c>
      <c r="X96" s="32"/>
      <c r="Y96" s="34"/>
    </row>
    <row r="97" spans="1:25" ht="28.8" x14ac:dyDescent="0.3">
      <c r="A97" s="129"/>
      <c r="B97" s="23" t="s">
        <v>345</v>
      </c>
      <c r="C97" s="23"/>
      <c r="D97" s="23" t="s">
        <v>346</v>
      </c>
      <c r="E97" s="33"/>
      <c r="F97" s="96" t="s">
        <v>29</v>
      </c>
      <c r="G97" s="24" t="s">
        <v>235</v>
      </c>
      <c r="H97" s="25" t="s">
        <v>236</v>
      </c>
      <c r="I97" s="26"/>
      <c r="J97" s="26"/>
      <c r="K97" s="26"/>
      <c r="L97" s="27" t="s">
        <v>32</v>
      </c>
      <c r="M97" s="28" t="s">
        <v>34</v>
      </c>
      <c r="N97" s="103"/>
      <c r="O97" s="28"/>
      <c r="P97" s="37" t="s">
        <v>335</v>
      </c>
      <c r="Q97" s="31" t="s">
        <v>35</v>
      </c>
      <c r="R97" s="31" t="s">
        <v>35</v>
      </c>
      <c r="S97" s="32" t="s">
        <v>203</v>
      </c>
      <c r="T97" s="32"/>
      <c r="U97" s="33" t="str">
        <f t="shared" si="4"/>
        <v>GEV HQ</v>
      </c>
      <c r="V97" s="95"/>
      <c r="W97" s="32"/>
      <c r="X97" s="32"/>
      <c r="Y97" s="34"/>
    </row>
    <row r="98" spans="1:25" customFormat="1" ht="28.8" x14ac:dyDescent="0.3">
      <c r="A98" s="131"/>
      <c r="B98" s="15" t="s">
        <v>266</v>
      </c>
      <c r="C98" s="15" t="s">
        <v>347</v>
      </c>
      <c r="D98" s="145" t="s">
        <v>348</v>
      </c>
      <c r="E98" s="33"/>
      <c r="F98" s="18" t="s">
        <v>29</v>
      </c>
      <c r="G98" s="16" t="s">
        <v>235</v>
      </c>
      <c r="H98" s="17" t="s">
        <v>236</v>
      </c>
      <c r="I98" s="3"/>
      <c r="J98" s="3">
        <v>45870</v>
      </c>
      <c r="K98" s="3"/>
      <c r="L98" s="1" t="s">
        <v>53</v>
      </c>
      <c r="M98" s="6" t="s">
        <v>42</v>
      </c>
      <c r="N98" s="49" t="s">
        <v>170</v>
      </c>
      <c r="O98" s="48" t="s">
        <v>55</v>
      </c>
      <c r="P98" s="10" t="s">
        <v>175</v>
      </c>
      <c r="Q98" s="14" t="s">
        <v>45</v>
      </c>
      <c r="R98" s="13"/>
      <c r="S98" s="2" t="s">
        <v>57</v>
      </c>
      <c r="T98" s="2"/>
      <c r="U98" s="12" t="str">
        <f t="shared" si="4"/>
        <v>Data &amp; Analytics</v>
      </c>
      <c r="V98" s="2" t="s">
        <v>247</v>
      </c>
      <c r="W98" s="2" t="s">
        <v>269</v>
      </c>
      <c r="X98" s="2"/>
      <c r="Y98" s="7"/>
    </row>
    <row r="99" spans="1:25" customFormat="1" ht="28.8" x14ac:dyDescent="0.3">
      <c r="A99" s="19"/>
      <c r="B99" s="148"/>
      <c r="C99" s="20" t="s">
        <v>349</v>
      </c>
      <c r="D99" s="146" t="s">
        <v>350</v>
      </c>
      <c r="E99" s="33"/>
      <c r="F99" s="18"/>
      <c r="G99" s="40" t="s">
        <v>235</v>
      </c>
      <c r="H99" s="25" t="s">
        <v>236</v>
      </c>
      <c r="I99" s="26">
        <v>45566</v>
      </c>
      <c r="J99" s="26">
        <v>45839</v>
      </c>
      <c r="K99" s="26"/>
      <c r="L99" s="27" t="s">
        <v>53</v>
      </c>
      <c r="M99" s="28"/>
      <c r="N99" s="103" t="s">
        <v>73</v>
      </c>
      <c r="O99" s="28" t="s">
        <v>55</v>
      </c>
      <c r="P99" s="37" t="s">
        <v>175</v>
      </c>
      <c r="Q99" s="38" t="s">
        <v>45</v>
      </c>
      <c r="R99" s="38"/>
      <c r="S99" s="32" t="s">
        <v>57</v>
      </c>
      <c r="T99" s="32"/>
      <c r="U99" s="12" t="str">
        <f t="shared" si="4"/>
        <v>Data &amp; Analytics</v>
      </c>
      <c r="V99" s="32" t="s">
        <v>247</v>
      </c>
      <c r="W99" s="32" t="s">
        <v>351</v>
      </c>
      <c r="X99" s="32" t="s">
        <v>81</v>
      </c>
      <c r="Y99" s="34" t="s">
        <v>249</v>
      </c>
    </row>
    <row r="100" spans="1:25" customFormat="1" ht="14.4" x14ac:dyDescent="0.3">
      <c r="A100" s="132"/>
      <c r="B100" s="15"/>
      <c r="C100" s="15" t="s">
        <v>352</v>
      </c>
      <c r="D100" s="145" t="s">
        <v>353</v>
      </c>
      <c r="E100" s="33"/>
      <c r="F100" s="18" t="s">
        <v>29</v>
      </c>
      <c r="G100" s="39" t="s">
        <v>235</v>
      </c>
      <c r="H100" s="25" t="s">
        <v>236</v>
      </c>
      <c r="I100" s="26">
        <v>45323</v>
      </c>
      <c r="J100" s="26">
        <v>45962</v>
      </c>
      <c r="K100" s="26"/>
      <c r="L100" s="27" t="s">
        <v>32</v>
      </c>
      <c r="M100" s="28" t="s">
        <v>34</v>
      </c>
      <c r="N100" s="103" t="s">
        <v>43</v>
      </c>
      <c r="O100" s="28" t="s">
        <v>55</v>
      </c>
      <c r="P100" s="37" t="s">
        <v>175</v>
      </c>
      <c r="Q100" s="38" t="s">
        <v>45</v>
      </c>
      <c r="R100" s="28"/>
      <c r="S100" s="32" t="s">
        <v>57</v>
      </c>
      <c r="T100" s="32"/>
      <c r="U100" s="12" t="str">
        <f t="shared" si="4"/>
        <v>Data &amp; Analytics</v>
      </c>
      <c r="V100" s="32" t="s">
        <v>247</v>
      </c>
      <c r="W100" s="32" t="s">
        <v>354</v>
      </c>
      <c r="X100" s="32" t="s">
        <v>81</v>
      </c>
      <c r="Y100" s="34" t="s">
        <v>249</v>
      </c>
    </row>
    <row r="101" spans="1:25" customFormat="1" ht="14.4" x14ac:dyDescent="0.3">
      <c r="A101" s="131"/>
      <c r="B101" s="15"/>
      <c r="C101" s="15" t="s">
        <v>355</v>
      </c>
      <c r="D101" s="145" t="s">
        <v>356</v>
      </c>
      <c r="E101" s="33"/>
      <c r="F101" s="18" t="s">
        <v>29</v>
      </c>
      <c r="G101" s="39" t="s">
        <v>235</v>
      </c>
      <c r="H101" s="25" t="s">
        <v>236</v>
      </c>
      <c r="I101" s="26"/>
      <c r="J101" s="26">
        <v>45833</v>
      </c>
      <c r="K101" s="26"/>
      <c r="L101" s="27" t="s">
        <v>53</v>
      </c>
      <c r="M101" s="28" t="s">
        <v>42</v>
      </c>
      <c r="N101" s="103" t="s">
        <v>66</v>
      </c>
      <c r="O101" s="28" t="s">
        <v>55</v>
      </c>
      <c r="P101" s="37" t="s">
        <v>110</v>
      </c>
      <c r="Q101" s="38" t="s">
        <v>45</v>
      </c>
      <c r="R101" s="28"/>
      <c r="S101" s="32" t="s">
        <v>91</v>
      </c>
      <c r="T101" s="32"/>
      <c r="U101" s="12" t="str">
        <f t="shared" si="4"/>
        <v>Digitization Programs</v>
      </c>
      <c r="V101" s="32" t="s">
        <v>92</v>
      </c>
      <c r="W101" s="32" t="s">
        <v>357</v>
      </c>
      <c r="X101" s="32" t="s">
        <v>59</v>
      </c>
      <c r="Y101" s="34"/>
    </row>
    <row r="102" spans="1:25" customFormat="1" ht="28.8" x14ac:dyDescent="0.3">
      <c r="A102" s="131"/>
      <c r="B102" s="59" t="s">
        <v>78</v>
      </c>
      <c r="C102" s="59" t="s">
        <v>358</v>
      </c>
      <c r="D102" s="143" t="s">
        <v>359</v>
      </c>
      <c r="E102" s="33"/>
      <c r="F102" s="60" t="s">
        <v>29</v>
      </c>
      <c r="G102" s="108" t="s">
        <v>235</v>
      </c>
      <c r="H102" s="51" t="s">
        <v>236</v>
      </c>
      <c r="I102" s="52">
        <v>45536</v>
      </c>
      <c r="J102" s="52">
        <v>45901</v>
      </c>
      <c r="K102" s="52"/>
      <c r="L102" s="53" t="s">
        <v>32</v>
      </c>
      <c r="M102" s="54" t="s">
        <v>34</v>
      </c>
      <c r="N102" s="178" t="s">
        <v>43</v>
      </c>
      <c r="O102" s="54" t="s">
        <v>55</v>
      </c>
      <c r="P102" s="55" t="s">
        <v>84</v>
      </c>
      <c r="Q102" s="56" t="s">
        <v>45</v>
      </c>
      <c r="R102" s="56" t="s">
        <v>45</v>
      </c>
      <c r="S102" s="57" t="s">
        <v>64</v>
      </c>
      <c r="T102" s="57" t="s">
        <v>85</v>
      </c>
      <c r="U102" s="107" t="str">
        <f t="shared" si="4"/>
        <v>Enterprise ApplicationsKishore Pasumarty</v>
      </c>
      <c r="V102" s="57" t="s">
        <v>85</v>
      </c>
      <c r="W102" s="57" t="s">
        <v>84</v>
      </c>
      <c r="X102" s="57" t="s">
        <v>59</v>
      </c>
      <c r="Y102" s="58"/>
    </row>
    <row r="103" spans="1:25" customFormat="1" ht="28.8" x14ac:dyDescent="0.3">
      <c r="A103" s="131"/>
      <c r="B103" s="15" t="s">
        <v>78</v>
      </c>
      <c r="C103" s="15" t="s">
        <v>360</v>
      </c>
      <c r="D103" s="145" t="s">
        <v>361</v>
      </c>
      <c r="E103" s="33"/>
      <c r="F103" s="18" t="s">
        <v>29</v>
      </c>
      <c r="G103" s="39" t="s">
        <v>235</v>
      </c>
      <c r="H103" s="25" t="s">
        <v>236</v>
      </c>
      <c r="I103" s="26">
        <v>45748</v>
      </c>
      <c r="J103" s="26">
        <v>45809</v>
      </c>
      <c r="K103" s="26"/>
      <c r="L103" s="27" t="s">
        <v>32</v>
      </c>
      <c r="M103" s="28" t="s">
        <v>34</v>
      </c>
      <c r="N103" s="103" t="s">
        <v>43</v>
      </c>
      <c r="O103" s="28" t="s">
        <v>55</v>
      </c>
      <c r="P103" s="37" t="s">
        <v>84</v>
      </c>
      <c r="Q103" s="31" t="s">
        <v>45</v>
      </c>
      <c r="R103" s="31" t="s">
        <v>45</v>
      </c>
      <c r="S103" s="32" t="s">
        <v>64</v>
      </c>
      <c r="T103" s="32" t="s">
        <v>85</v>
      </c>
      <c r="U103" s="12" t="str">
        <f t="shared" si="4"/>
        <v>Enterprise ApplicationsKishore Pasumarty</v>
      </c>
      <c r="V103" s="32" t="s">
        <v>85</v>
      </c>
      <c r="W103" s="32" t="s">
        <v>84</v>
      </c>
      <c r="X103" s="32" t="s">
        <v>81</v>
      </c>
      <c r="Y103" s="34"/>
    </row>
    <row r="104" spans="1:25" ht="43.2" x14ac:dyDescent="0.3">
      <c r="A104" s="22"/>
      <c r="B104" s="23" t="s">
        <v>69</v>
      </c>
      <c r="C104" s="23" t="s">
        <v>362</v>
      </c>
      <c r="D104" s="23" t="s">
        <v>363</v>
      </c>
      <c r="E104" s="33"/>
      <c r="F104" s="24" t="s">
        <v>89</v>
      </c>
      <c r="G104" s="24" t="s">
        <v>364</v>
      </c>
      <c r="H104" s="25" t="s">
        <v>31</v>
      </c>
      <c r="I104" s="26"/>
      <c r="J104" s="26">
        <v>45992</v>
      </c>
      <c r="K104" s="26">
        <v>46174</v>
      </c>
      <c r="L104" s="27" t="s">
        <v>32</v>
      </c>
      <c r="M104" s="28" t="s">
        <v>42</v>
      </c>
      <c r="N104" s="103" t="s">
        <v>73</v>
      </c>
      <c r="O104" s="28"/>
      <c r="P104" s="37" t="s">
        <v>74</v>
      </c>
      <c r="Q104" s="31" t="s">
        <v>45</v>
      </c>
      <c r="R104" s="31" t="s">
        <v>45</v>
      </c>
      <c r="S104" s="32" t="s">
        <v>40</v>
      </c>
      <c r="T104" s="32" t="s">
        <v>40</v>
      </c>
      <c r="U104" s="33" t="str">
        <f>_xlfn.CONCAT(S104:T104)</f>
        <v>Product Tech Solutions &amp; OperationsProduct Tech Solutions &amp; Operations</v>
      </c>
      <c r="V104" s="95" t="s">
        <v>158</v>
      </c>
      <c r="W104" s="32" t="s">
        <v>365</v>
      </c>
      <c r="X104" s="32"/>
      <c r="Y104" s="34"/>
    </row>
    <row r="105" spans="1:25" ht="15" customHeight="1" x14ac:dyDescent="0.3">
      <c r="B105" s="97"/>
      <c r="C105" s="23"/>
    </row>
    <row r="106" spans="1:25" ht="15" customHeight="1" x14ac:dyDescent="0.3">
      <c r="B106" s="97"/>
      <c r="C106" s="23"/>
    </row>
    <row r="107" spans="1:25" ht="15" customHeight="1" x14ac:dyDescent="0.3">
      <c r="B107" s="97"/>
      <c r="C107" s="23"/>
    </row>
    <row r="108" spans="1:25" ht="15" customHeight="1" x14ac:dyDescent="0.3">
      <c r="B108" s="97"/>
      <c r="C108" s="23"/>
    </row>
    <row r="109" spans="1:25" ht="15" customHeight="1" x14ac:dyDescent="0.3">
      <c r="B109" s="97"/>
      <c r="C109" s="23"/>
    </row>
    <row r="110" spans="1:25" ht="15" customHeight="1" x14ac:dyDescent="0.3">
      <c r="B110" s="97"/>
      <c r="C110" s="23"/>
    </row>
    <row r="111" spans="1:25" ht="15" customHeight="1" x14ac:dyDescent="0.3">
      <c r="B111" s="97"/>
      <c r="C111" s="23"/>
    </row>
    <row r="112" spans="1:25" ht="15" customHeight="1" x14ac:dyDescent="0.3">
      <c r="B112" s="97"/>
      <c r="C112" s="23"/>
    </row>
    <row r="113" spans="2:3" ht="15" customHeight="1" x14ac:dyDescent="0.3">
      <c r="B113" s="97"/>
      <c r="C113" s="23"/>
    </row>
    <row r="114" spans="2:3" ht="15" customHeight="1" x14ac:dyDescent="0.3">
      <c r="B114" s="97"/>
      <c r="C114" s="23"/>
    </row>
  </sheetData>
  <autoFilter ref="A1:Z104" xr:uid="{43B25E97-9120-4F6C-9A06-F7C98AE0806E}"/>
  <sortState xmlns:xlrd2="http://schemas.microsoft.com/office/spreadsheetml/2017/richdata2" ref="A2:Y475371">
    <sortCondition ref="G2:G475371"/>
  </sortState>
  <conditionalFormatting sqref="A2:A1048576">
    <cfRule type="cellIs" dxfId="71" priority="143" operator="equal">
      <formula>"G"</formula>
    </cfRule>
  </conditionalFormatting>
  <conditionalFormatting sqref="A2:A63 A67:A1048576">
    <cfRule type="cellIs" dxfId="70" priority="142" operator="equal">
      <formula>"Hold"</formula>
    </cfRule>
    <cfRule type="cellIs" dxfId="69" priority="217" operator="equal">
      <formula>"R"</formula>
    </cfRule>
  </conditionalFormatting>
  <conditionalFormatting sqref="A2:A31 M99:P99 A67:A1048576">
    <cfRule type="cellIs" dxfId="68" priority="201" operator="equal">
      <formula>"Y"</formula>
    </cfRule>
  </conditionalFormatting>
  <conditionalFormatting sqref="A32:A35 O71:P72 O102:P103">
    <cfRule type="cellIs" dxfId="67" priority="229" operator="equal">
      <formula>"Y"</formula>
    </cfRule>
  </conditionalFormatting>
  <conditionalFormatting sqref="A64:D66">
    <cfRule type="cellIs" dxfId="66" priority="115" operator="equal">
      <formula>"Hold"</formula>
    </cfRule>
    <cfRule type="cellIs" dxfId="65" priority="118" operator="equal">
      <formula>"R"</formula>
    </cfRule>
    <cfRule type="cellIs" dxfId="64" priority="121" operator="equal">
      <formula>"Y"</formula>
    </cfRule>
  </conditionalFormatting>
  <conditionalFormatting sqref="B3:D3 B8:D8 P8 P12 P20:P22 O22:P22 O36:P63 P75:P79 M87:N93 P88:P89 B90:B104">
    <cfRule type="cellIs" dxfId="63" priority="182" operator="equal">
      <formula>"Yes"</formula>
    </cfRule>
  </conditionalFormatting>
  <conditionalFormatting sqref="B37:D42 B13:B19 B20:D22 B25:B31 B26:D27 B34 B36:B54 B48:C48 B49:D54 B56:D59 B60:B63 B63:D63 B76:B79 B81:B82">
    <cfRule type="cellIs" dxfId="62" priority="106" operator="equal">
      <formula>"Yes"</formula>
    </cfRule>
  </conditionalFormatting>
  <conditionalFormatting sqref="B37:D42 B13:B19 B22:D22 B25:B31 B26:D27 B34 B36:B54 B48:C48 B49:D54 B56:D59 B60:B63 B63:D63 B76:B79 B81:B82 B90:B104">
    <cfRule type="cellIs" dxfId="61" priority="105" operator="equal">
      <formula>"No"</formula>
    </cfRule>
    <cfRule type="cellIs" dxfId="60" priority="107" operator="equal">
      <formula>"Y"</formula>
    </cfRule>
    <cfRule type="cellIs" dxfId="59" priority="108" operator="equal">
      <formula>"N"</formula>
    </cfRule>
  </conditionalFormatting>
  <conditionalFormatting sqref="B64:D66">
    <cfRule type="cellIs" dxfId="58" priority="116" operator="equal">
      <formula>"NA"</formula>
    </cfRule>
    <cfRule type="cellIs" dxfId="57" priority="117" operator="equal">
      <formula>"G"</formula>
    </cfRule>
    <cfRule type="cellIs" dxfId="56" priority="119" operator="equal">
      <formula>"Y"</formula>
    </cfRule>
    <cfRule type="cellIs" dxfId="55" priority="120" operator="equal">
      <formula>"N"</formula>
    </cfRule>
    <cfRule type="cellIs" dxfId="54" priority="122" stopIfTrue="1" operator="equal">
      <formula>"No"</formula>
    </cfRule>
  </conditionalFormatting>
  <conditionalFormatting sqref="C30:C31 C34 C38 V12 V24:V27 B73:B74 V83:V104 T94:T104">
    <cfRule type="cellIs" dxfId="53" priority="87" stopIfTrue="1" operator="equal">
      <formula>"No"</formula>
    </cfRule>
  </conditionalFormatting>
  <conditionalFormatting sqref="C30:D31 C33:D35 C38:D38">
    <cfRule type="cellIs" dxfId="52" priority="80" operator="equal">
      <formula>"Hold"</formula>
    </cfRule>
    <cfRule type="cellIs" dxfId="51" priority="81" operator="equal">
      <formula>"NA"</formula>
    </cfRule>
    <cfRule type="cellIs" dxfId="50" priority="82" operator="equal">
      <formula>"G"</formula>
    </cfRule>
    <cfRule type="cellIs" dxfId="49" priority="83" operator="equal">
      <formula>"R"</formula>
    </cfRule>
    <cfRule type="cellIs" dxfId="48" priority="84" operator="equal">
      <formula>"Y"</formula>
    </cfRule>
    <cfRule type="cellIs" dxfId="47" priority="85" operator="equal">
      <formula>"N"</formula>
    </cfRule>
    <cfRule type="cellIs" dxfId="46" priority="86" operator="equal">
      <formula>"Y"</formula>
    </cfRule>
  </conditionalFormatting>
  <conditionalFormatting sqref="C33:D35 C38:D38 D30:D31">
    <cfRule type="cellIs" dxfId="45" priority="177" operator="equal">
      <formula>"Yes"</formula>
    </cfRule>
    <cfRule type="cellIs" dxfId="44" priority="178" operator="equal">
      <formula>"No"</formula>
    </cfRule>
  </conditionalFormatting>
  <conditionalFormatting sqref="D30:D31 C33:D35 C38:D38">
    <cfRule type="cellIs" dxfId="43" priority="179" stopIfTrue="1" operator="equal">
      <formula>"No"</formula>
    </cfRule>
  </conditionalFormatting>
  <conditionalFormatting sqref="F22:H22 F2:F58 F40:H42 F48:H54 F60:F63 F64:H66 F67:F79 F81:F104">
    <cfRule type="cellIs" dxfId="42" priority="198" operator="equal">
      <formula>"Adjusted plan"</formula>
    </cfRule>
    <cfRule type="cellIs" dxfId="41" priority="199" operator="equal">
      <formula>"Slip"</formula>
    </cfRule>
    <cfRule type="cellIs" dxfId="40" priority="200" operator="equal">
      <formula>"On Track"</formula>
    </cfRule>
  </conditionalFormatting>
  <conditionalFormatting sqref="H57">
    <cfRule type="cellIs" dxfId="39" priority="1" operator="equal">
      <formula>"Adjusted plan"</formula>
    </cfRule>
    <cfRule type="cellIs" dxfId="38" priority="2" operator="equal">
      <formula>"Slip"</formula>
    </cfRule>
    <cfRule type="cellIs" dxfId="37" priority="3" operator="equal">
      <formula>"On Track"</formula>
    </cfRule>
  </conditionalFormatting>
  <conditionalFormatting sqref="K1:K6 K9 K12:K18 K20:K21 K23 K25 K28:K29 K33:K36 K38:K39 K43:K55 K57 K59 K61:K62 K67:K79 K81:K82 K85:K1048576">
    <cfRule type="expression" dxfId="36" priority="109">
      <formula>AND(F1="Adjusted plan",ISBLANK(K1))</formula>
    </cfRule>
    <cfRule type="expression" dxfId="35" priority="110">
      <formula>AND(F1="Slip",ISBLANK(K1))</formula>
    </cfRule>
  </conditionalFormatting>
  <conditionalFormatting sqref="L64:P66">
    <cfRule type="cellIs" dxfId="34" priority="31" operator="equal">
      <formula>"Hold"</formula>
    </cfRule>
    <cfRule type="cellIs" dxfId="33" priority="32" operator="equal">
      <formula>"NA"</formula>
    </cfRule>
    <cfRule type="cellIs" dxfId="32" priority="33" operator="equal">
      <formula>"G"</formula>
    </cfRule>
    <cfRule type="cellIs" dxfId="31" priority="34" operator="equal">
      <formula>"R"</formula>
    </cfRule>
    <cfRule type="cellIs" dxfId="30" priority="35" operator="equal">
      <formula>"Y"</formula>
    </cfRule>
    <cfRule type="cellIs" dxfId="29" priority="36" operator="equal">
      <formula>"No"</formula>
    </cfRule>
  </conditionalFormatting>
  <conditionalFormatting sqref="L22:U22 L36:P63 L40:U42 M91:N91 M94:P104">
    <cfRule type="cellIs" dxfId="28" priority="76" operator="equal">
      <formula>"Hold"</formula>
    </cfRule>
    <cfRule type="cellIs" dxfId="27" priority="77" operator="equal">
      <formula>"NA"</formula>
    </cfRule>
    <cfRule type="cellIs" dxfId="26" priority="78" operator="equal">
      <formula>"G"</formula>
    </cfRule>
    <cfRule type="cellIs" dxfId="25" priority="79" operator="equal">
      <formula>"R"</formula>
    </cfRule>
  </conditionalFormatting>
  <conditionalFormatting sqref="L22:U22 L26:U27 L37:R39 L40:U42 L56:R58 L13:L19 L25:L31 L34 L36:L58 L48:P54 L58:P60 L60:L63 L63:P63 L76:L79 L81:L82 L90:L93 L98">
    <cfRule type="cellIs" dxfId="24" priority="212" operator="equal">
      <formula>"Y"</formula>
    </cfRule>
    <cfRule type="cellIs" dxfId="23" priority="213" operator="equal">
      <formula>"No"</formula>
    </cfRule>
  </conditionalFormatting>
  <conditionalFormatting sqref="M2:N3 M8:N8 M12:N12 O13:P19 M20:N22 O22:P22 O25:P31 O34:P34 O36:P63 M73:N74 O76:P79 O80 O81:P82 O90:P93 O98:P98">
    <cfRule type="cellIs" dxfId="22" priority="124" operator="equal">
      <formula>"No"</formula>
    </cfRule>
  </conditionalFormatting>
  <conditionalFormatting sqref="M2:N3 M8:N8 M12:N12 O13:P19 M20:N22 O25:P31 O34:P34 M73:N74 O76:P79 O80 O81:P82 O90:P93 O98:P98">
    <cfRule type="cellIs" dxfId="21" priority="123" operator="equal">
      <formula>"Yes"</formula>
    </cfRule>
  </conditionalFormatting>
  <conditionalFormatting sqref="P22 P31 A36:A63 P39 P42 P55:P59 P61:P63 P73:P79 P98">
    <cfRule type="cellIs" dxfId="20" priority="135" operator="equal">
      <formula>"Y"</formula>
    </cfRule>
  </conditionalFormatting>
  <conditionalFormatting sqref="P31 P39 P42 P55:P59 P61:P63 P73:P79 P98">
    <cfRule type="cellIs" dxfId="19" priority="130" operator="equal">
      <formula>"Hold"</formula>
    </cfRule>
    <cfRule type="cellIs" dxfId="18" priority="131" operator="equal">
      <formula>"NA"</formula>
    </cfRule>
    <cfRule type="cellIs" dxfId="17" priority="132" operator="equal">
      <formula>"G"</formula>
    </cfRule>
    <cfRule type="cellIs" dxfId="16" priority="133" operator="equal">
      <formula>"R"</formula>
    </cfRule>
  </conditionalFormatting>
  <conditionalFormatting sqref="P75:P79">
    <cfRule type="cellIs" dxfId="15" priority="134" operator="equal">
      <formula>"No"</formula>
    </cfRule>
  </conditionalFormatting>
  <conditionalFormatting sqref="Q1:R31 Q33:R63 Q64:Q66 Q67:R79 Q81:R1048576">
    <cfRule type="cellIs" dxfId="14" priority="190" operator="equal">
      <formula>"Y"</formula>
    </cfRule>
    <cfRule type="cellIs" dxfId="13" priority="214" operator="equal">
      <formula>"N"</formula>
    </cfRule>
  </conditionalFormatting>
  <conditionalFormatting sqref="Q1:R31 Q33:R63 Q64:Q66 Q67:R79 Q81:R1048576">
    <cfRule type="containsText" dxfId="12" priority="129" operator="containsText" text="N/A">
      <formula>NOT(ISERROR(SEARCH("N/A",Q1)))</formula>
    </cfRule>
  </conditionalFormatting>
  <conditionalFormatting sqref="R64:R66">
    <cfRule type="cellIs" dxfId="11" priority="10" operator="equal">
      <formula>"Hold"</formula>
    </cfRule>
    <cfRule type="cellIs" dxfId="10" priority="11" operator="equal">
      <formula>"NA"</formula>
    </cfRule>
    <cfRule type="cellIs" dxfId="9" priority="12" operator="equal">
      <formula>"G"</formula>
    </cfRule>
    <cfRule type="cellIs" dxfId="8" priority="13" operator="equal">
      <formula>"R"</formula>
    </cfRule>
    <cfRule type="cellIs" dxfId="7" priority="14" operator="equal">
      <formula>"Y"</formula>
    </cfRule>
    <cfRule type="cellIs" dxfId="6" priority="15" operator="equal">
      <formula>"No"</formula>
    </cfRule>
  </conditionalFormatting>
  <conditionalFormatting sqref="T2:T3 M2:N5 M6:P27 T8 T12 L13:P19 T20:T22 L25:P31 L26:U27 L34:P34 L37:R39 L56:R58 M71:P72 T73:T74 M73:N76 L76 L77:N79 L81:P82 M83:P89 L90:P93 L98">
    <cfRule type="cellIs" dxfId="5" priority="52" operator="equal">
      <formula>"Hold"</formula>
    </cfRule>
    <cfRule type="cellIs" dxfId="4" priority="53" operator="equal">
      <formula>"NA"</formula>
    </cfRule>
    <cfRule type="cellIs" dxfId="3" priority="54" operator="equal">
      <formula>"G"</formula>
    </cfRule>
    <cfRule type="cellIs" dxfId="2" priority="55" operator="equal">
      <formula>"R"</formula>
    </cfRule>
  </conditionalFormatting>
  <conditionalFormatting sqref="Y88:Y89">
    <cfRule type="cellIs" dxfId="1" priority="202" operator="equal">
      <formula>"No"</formula>
    </cfRule>
    <cfRule type="cellIs" dxfId="0" priority="203" operator="equal">
      <formula>"Yes"</formula>
    </cfRule>
  </conditionalFormatting>
  <dataValidations count="10">
    <dataValidation allowBlank="1" showInputMessage="1" showErrorMessage="1" sqref="N1 T1:U5 U77:U80 T77:T79 T103:V103 U6:V7 U9:V27 T8:V8 U28 T25:U27 T12:U22 T29:U76 J1:K79 Q1:R79 Q81:R1048576 J81:K1048576 T81:U1048576 U96:V104" xr:uid="{5D59D427-FEA1-4A2F-916C-C414FC00A143}"/>
    <dataValidation type="list" allowBlank="1" showInputMessage="1" showErrorMessage="1" sqref="M2:M79 M81:M104" xr:uid="{644D9F1A-B528-4A5E-99CA-AF984CD63EB9}">
      <formula1>"Grid, Mfg, PERS, All"</formula1>
    </dataValidation>
    <dataValidation type="list" allowBlank="1" showInputMessage="1" showErrorMessage="1" sqref="A2:A79 A81:A104" xr:uid="{069A75E3-FA05-4027-A8D1-EB683FC9C6E0}">
      <formula1>"R, Y, G, NA, Hold"</formula1>
    </dataValidation>
    <dataValidation type="list" allowBlank="1" showInputMessage="1" showErrorMessage="1" sqref="O2:O104" xr:uid="{2CAE980F-C662-4D91-B589-1029D8A6C45D}">
      <formula1>"Global, Namerica, EMEA, APAC"</formula1>
    </dataValidation>
    <dataValidation type="list" allowBlank="1" showInputMessage="1" showErrorMessage="1" sqref="L2:L79 L81:L104" xr:uid="{2FECF21B-A6BF-450D-BF26-85316EC3C759}">
      <formula1>"MustDo, Strategic/LTGrowth, Productivity"</formula1>
    </dataValidation>
    <dataValidation type="list" allowBlank="1" showInputMessage="1" showErrorMessage="1" sqref="F2:F79 F81:F104" xr:uid="{4B239586-DB16-46E4-80D8-FC1B26C7BDA9}">
      <formula1>"On Track, Adjusted plan, Slip"</formula1>
    </dataValidation>
    <dataValidation type="list" allowBlank="1" showInputMessage="1" showErrorMessage="1" sqref="G1:G1048576" xr:uid="{92E98788-4E5B-48EF-B97D-440A97C816DA}">
      <formula1>"Active, Evaluation, Hold, Funnel, Closure, Cancelled"</formula1>
    </dataValidation>
    <dataValidation type="list" allowBlank="1" showInputMessage="1" showErrorMessage="1" sqref="H2:I79 H81:I104" xr:uid="{C948D8F7-DD01-45CA-A4C1-BD61E2A13A3E}">
      <formula1>"Agile, Discovery, Requirements,Build, Verify, Launch, Post-Launch, Funnel"</formula1>
    </dataValidation>
    <dataValidation type="list" allowBlank="1" showInputMessage="1" showErrorMessage="1" sqref="H31:I31 H61:I63 H26:I27 H55:I59 H67:I79 H22:I22 H39:I42 H98:I104" xr:uid="{AEE39C4D-7D36-4995-B062-8D32E8058D91}">
      <formula1>"Agile, Initiate, Requirements, Design, Development, Test, Deploy, Support"</formula1>
    </dataValidation>
    <dataValidation type="list" allowBlank="1" showInputMessage="1" showErrorMessage="1" sqref="H31:I31 H61:I63 H26:I27 H55:I59 H67:I79 H22:I22 H39:I42 H98:I104" xr:uid="{99359DCA-ACDA-4ECC-8D43-D42DACB70DCF}">
      <formula1>"Agile, Discovery, Requirements,Build, Verify, Launch, Post-Launch"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9F13F0D-28D6-49CF-8885-94579F30CC17}">
          <x14:formula1>
            <xm:f>Sheet1!$E$2:$E$10</xm:f>
          </x14:formula1>
          <xm:sqref>N2:N79 N81:N1048576</xm:sqref>
        </x14:dataValidation>
        <x14:dataValidation type="list" allowBlank="1" showInputMessage="1" showErrorMessage="1" xr:uid="{6E198080-02FF-45D0-BA7D-D6FBA43913DA}">
          <x14:formula1>
            <xm:f>Sheet1!$A$2:$A$8</xm:f>
          </x14:formula1>
          <xm:sqref>T6:T8 S83:T93 S1:S8 S64:S82 S32:S54 S7:T31 S37:T42 S55:T63 S94:S1048576 E1:E475330 S96:T104</xm:sqref>
        </x14:dataValidation>
        <x14:dataValidation type="list" allowBlank="1" showInputMessage="1" showErrorMessage="1" xr:uid="{A2597AC4-B796-4C35-9F59-12CCF5CCBB6D}">
          <x14:formula1>
            <xm:f>Sheet1!$A$2:$A$5</xm:f>
          </x14:formula1>
          <xm:sqref>T5 T25:T27 T59 T84:T93 T7:T8 T10:T22 T29:T31 T97:T104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BD78-653E-4026-86C5-C44148D20DEC}">
  <dimension ref="A1:E10"/>
  <sheetViews>
    <sheetView workbookViewId="0">
      <selection activeCell="A10" sqref="A10"/>
    </sheetView>
  </sheetViews>
  <sheetFormatPr defaultColWidth="8.88671875" defaultRowHeight="14.4" x14ac:dyDescent="0.3"/>
  <cols>
    <col min="1" max="1" width="32.6640625" bestFit="1" customWidth="1"/>
    <col min="5" max="5" width="16.33203125" bestFit="1" customWidth="1"/>
  </cols>
  <sheetData>
    <row r="1" spans="1:5" x14ac:dyDescent="0.3">
      <c r="A1" s="11" t="s">
        <v>366</v>
      </c>
      <c r="E1" s="11" t="s">
        <v>367</v>
      </c>
    </row>
    <row r="2" spans="1:5" x14ac:dyDescent="0.3">
      <c r="A2" t="s">
        <v>88</v>
      </c>
      <c r="E2" t="s">
        <v>136</v>
      </c>
    </row>
    <row r="3" spans="1:5" x14ac:dyDescent="0.3">
      <c r="A3" t="s">
        <v>64</v>
      </c>
      <c r="E3" t="s">
        <v>292</v>
      </c>
    </row>
    <row r="4" spans="1:5" x14ac:dyDescent="0.3">
      <c r="A4" t="s">
        <v>28</v>
      </c>
      <c r="E4" t="s">
        <v>73</v>
      </c>
    </row>
    <row r="5" spans="1:5" x14ac:dyDescent="0.3">
      <c r="A5" t="s">
        <v>40</v>
      </c>
      <c r="E5" t="s">
        <v>66</v>
      </c>
    </row>
    <row r="6" spans="1:5" x14ac:dyDescent="0.3">
      <c r="A6" t="s">
        <v>203</v>
      </c>
      <c r="E6" t="s">
        <v>368</v>
      </c>
    </row>
    <row r="7" spans="1:5" x14ac:dyDescent="0.3">
      <c r="E7" t="s">
        <v>369</v>
      </c>
    </row>
    <row r="8" spans="1:5" x14ac:dyDescent="0.3">
      <c r="E8" t="s">
        <v>370</v>
      </c>
    </row>
    <row r="9" spans="1:5" x14ac:dyDescent="0.3">
      <c r="E9" t="s">
        <v>170</v>
      </c>
    </row>
    <row r="10" spans="1:5" x14ac:dyDescent="0.3">
      <c r="E10" t="s">
        <v>34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2026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Nath, Reema (GE Vernova)</dc:creator>
  <cp:keywords/>
  <dc:description/>
  <cp:lastModifiedBy>Jain, Mohit</cp:lastModifiedBy>
  <cp:revision/>
  <dcterms:created xsi:type="dcterms:W3CDTF">2025-04-09T18:15:07Z</dcterms:created>
  <dcterms:modified xsi:type="dcterms:W3CDTF">2026-06-08T11:40:41Z</dcterms:modified>
  <cp:category/>
  <cp:contentStatus/>
</cp:coreProperties>
</file>